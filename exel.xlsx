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Planeacion\Documents\MR\POA\Dashboard-Proyectos\"/>
    </mc:Choice>
  </mc:AlternateContent>
  <xr:revisionPtr revIDLastSave="0" documentId="13_ncr:1_{ECE0B0C1-19B7-4912-BCF8-6F0D54FF8E65}" xr6:coauthVersionLast="47" xr6:coauthVersionMax="47" xr10:uidLastSave="{00000000-0000-0000-0000-000000000000}"/>
  <bookViews>
    <workbookView xWindow="-120" yWindow="-120" windowWidth="29040" windowHeight="15720" xr2:uid="{DC5D7902-EC1E-495C-BA2D-668E128061BC}"/>
  </bookViews>
  <sheets>
    <sheet name="PRESUPUESTO" sheetId="1" r:id="rId1"/>
    <sheet name="U.A" sheetId="2" r:id="rId2"/>
    <sheet name="F.F" sheetId="3" r:id="rId3"/>
    <sheet name="COG" sheetId="4" r:id="rId4"/>
    <sheet name="PROYECTO" sheetId="5" r:id="rId5"/>
    <sheet name="EJES" sheetId="8" r:id="rId6"/>
    <sheet name="CONDICIONES" sheetId="7" state="hidden" r:id="rId7"/>
  </sheets>
  <externalReferences>
    <externalReference r:id="rId8"/>
  </externalReferences>
  <definedNames>
    <definedName name="_xlnm._FilterDatabase" localSheetId="6" hidden="1">CONDICIONES!$B$3:$P$4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 i="1" l="1"/>
  <c r="E27" i="1"/>
  <c r="D27" i="1"/>
  <c r="C27" i="1"/>
  <c r="G26" i="1"/>
  <c r="E26" i="1"/>
  <c r="D26" i="1"/>
  <c r="C26" i="1"/>
  <c r="G25" i="1"/>
  <c r="E25" i="1"/>
  <c r="D25" i="1"/>
  <c r="C25" i="1"/>
  <c r="K29" i="1"/>
  <c r="I27" i="1"/>
  <c r="I26" i="1"/>
  <c r="J27" i="1"/>
  <c r="J26" i="1"/>
  <c r="I25" i="1"/>
  <c r="J25" i="1"/>
  <c r="J19" i="1"/>
  <c r="D19" i="1"/>
  <c r="B13" i="1"/>
  <c r="C19" i="1"/>
  <c r="G19" i="1"/>
  <c r="I19" i="1"/>
  <c r="J24" i="1"/>
  <c r="I24" i="1"/>
  <c r="G24" i="1"/>
  <c r="D24" i="1"/>
  <c r="C24" i="1"/>
  <c r="J23" i="1"/>
  <c r="I23" i="1"/>
  <c r="G23" i="1"/>
  <c r="D23" i="1"/>
  <c r="C23" i="1"/>
  <c r="J22" i="1"/>
  <c r="I22" i="1"/>
  <c r="G22" i="1"/>
  <c r="D22" i="1"/>
  <c r="C22" i="1"/>
  <c r="J21" i="1"/>
  <c r="I21" i="1"/>
  <c r="G21" i="1"/>
  <c r="D21" i="1"/>
  <c r="C21" i="1"/>
  <c r="J20" i="1"/>
  <c r="I20" i="1"/>
  <c r="G20" i="1"/>
  <c r="D20" i="1"/>
  <c r="C20" i="1"/>
  <c r="F13" i="1"/>
  <c r="K12" i="1"/>
  <c r="J13" i="1" s="1"/>
  <c r="I12" i="1"/>
  <c r="H13" i="1" s="1"/>
  <c r="D13" i="1"/>
  <c r="E19" i="1" s="1"/>
  <c r="H4" i="7"/>
  <c r="E20" i="1" l="1"/>
  <c r="E24" i="1"/>
  <c r="E21" i="1"/>
  <c r="E23" i="1"/>
  <c r="E22" i="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tc={0467112D-7F58-4FB4-8E50-62131062CE64}</author>
  </authors>
  <commentList>
    <comment ref="J18" authorId="0" shapeId="0" xr:uid="{0467112D-7F58-4FB4-8E50-62131062CE64}">
      <text>
        <t>[Comentario encadenado]
Su versión de Excel le permite leer este comentario encadenado; sin embargo, las ediciones que se apliquen se quitarán si el archivo se abre en una versión más reciente de Excel. Más información: https://go.microsoft.com/fwlink/?linkid=870924
Comentario:
    El tipo de gasto se conserva a 1</t>
      </text>
    </comment>
  </commentList>
</comments>
</file>

<file path=xl/sharedStrings.xml><?xml version="1.0" encoding="utf-8"?>
<sst xmlns="http://schemas.openxmlformats.org/spreadsheetml/2006/main" count="654" uniqueCount="620">
  <si>
    <t>A001</t>
  </si>
  <si>
    <t/>
  </si>
  <si>
    <t>B001</t>
  </si>
  <si>
    <t>B002</t>
  </si>
  <si>
    <t>B003</t>
  </si>
  <si>
    <t>B004</t>
  </si>
  <si>
    <t>C001</t>
  </si>
  <si>
    <t>C002</t>
  </si>
  <si>
    <t>C003</t>
  </si>
  <si>
    <t>D001</t>
  </si>
  <si>
    <t>D002</t>
  </si>
  <si>
    <t>D003</t>
  </si>
  <si>
    <t>D004</t>
  </si>
  <si>
    <t>E001</t>
  </si>
  <si>
    <t>E002</t>
  </si>
  <si>
    <t>E003</t>
  </si>
  <si>
    <t>E004</t>
  </si>
  <si>
    <t>E005</t>
  </si>
  <si>
    <t>E006</t>
  </si>
  <si>
    <t>E007</t>
  </si>
  <si>
    <t>E008</t>
  </si>
  <si>
    <t>E009</t>
  </si>
  <si>
    <t>E010</t>
  </si>
  <si>
    <t>E011</t>
  </si>
  <si>
    <t>E012</t>
  </si>
  <si>
    <t>F001</t>
  </si>
  <si>
    <t>G001</t>
  </si>
  <si>
    <t>H001</t>
  </si>
  <si>
    <t>H002</t>
  </si>
  <si>
    <t>H003</t>
  </si>
  <si>
    <t>I001</t>
  </si>
  <si>
    <t>J001</t>
  </si>
  <si>
    <t>J002</t>
  </si>
  <si>
    <t>J003</t>
  </si>
  <si>
    <t>K001</t>
  </si>
  <si>
    <t>K002</t>
  </si>
  <si>
    <t>K003</t>
  </si>
  <si>
    <t>K004</t>
  </si>
  <si>
    <t>Cultura</t>
  </si>
  <si>
    <t>L001</t>
  </si>
  <si>
    <t>L002</t>
  </si>
  <si>
    <t>L003</t>
  </si>
  <si>
    <t>L004</t>
  </si>
  <si>
    <t>L005</t>
  </si>
  <si>
    <t>L006</t>
  </si>
  <si>
    <t>M001</t>
  </si>
  <si>
    <t>N001</t>
  </si>
  <si>
    <t>N002</t>
  </si>
  <si>
    <t>N003</t>
  </si>
  <si>
    <t>U.A</t>
  </si>
  <si>
    <t>CONCEPTO</t>
  </si>
  <si>
    <t>FONDO PARA LA INFRAESTRUCTURA SOCIAL MUNICIPAL</t>
  </si>
  <si>
    <t>PROYECTO</t>
  </si>
  <si>
    <t>Recursos Fiscales 2026</t>
  </si>
  <si>
    <t>Participaciones Federales 2026</t>
  </si>
  <si>
    <t>Fondo Resarcitorio 2026</t>
  </si>
  <si>
    <t>Fondo de Aportaciones para el Fortalecimiento de los Municipios 2026</t>
  </si>
  <si>
    <t>Fondo de Aportaciones para la Infraestructura Social Municipal 2026</t>
  </si>
  <si>
    <t>F.F</t>
  </si>
  <si>
    <t>MATERIALES, ÚTILES Y EQUIPOS MENORES DE OFICINA</t>
  </si>
  <si>
    <t>BIENES MUEBLES MENORES DE OFICINA</t>
  </si>
  <si>
    <t>MATERIALES Y ÚTILES DE IMPRESIÓN Y REPRODUCCIÓN</t>
  </si>
  <si>
    <t>BIENES MUEBLES MENORES DE IMPRESIÓN Y REPRODUCCIÓN</t>
  </si>
  <si>
    <t>MATERIAL ESTADÍSTICO Y GEOGRÁFICO</t>
  </si>
  <si>
    <t>BIENES MUEBLES MENORES DE ESTADÍSTICA Y GEOGRAFÍA</t>
  </si>
  <si>
    <t>MATERIALES, ÚTILES Y EQUIPOS MENORES DE TECNOLOGÍAS DE LA INFORMACIÓN Y COMUNICACIONES</t>
  </si>
  <si>
    <t>BIENES MENORES DE TECNOLOGÍAS DE LA INFORMACIÓN Y COMUNICACIONES</t>
  </si>
  <si>
    <t>MATERIAL IMPRESO E INFORMACIÓN DIGITAL</t>
  </si>
  <si>
    <t>MATERIAL DE LIMPIEZA</t>
  </si>
  <si>
    <t>MATERIALES Y ÚTILES DE ENSEÑANZA</t>
  </si>
  <si>
    <t>MATERIALES PARA EL REGISTRO E IDENTIFICACIÓN DE BIENES Y PERSONAS</t>
  </si>
  <si>
    <t>PRODUCTOS ALIMENTICIOS PARA PERSONAS</t>
  </si>
  <si>
    <t>ALIMENTOS EN OFICINAS Y LUGARES DE TRABAJO</t>
  </si>
  <si>
    <t>ALIMENTOS EN EVENTOS OFICIALES</t>
  </si>
  <si>
    <t>ALIMENTACIÓN PARA INTERNOS</t>
  </si>
  <si>
    <t>PRODUCTOS ALIMENTICIOS PARA ANIMALES</t>
  </si>
  <si>
    <t>UTENSILIOS PARA EL SERVICIO DE ALIMENTACIÓN</t>
  </si>
  <si>
    <t>PRODUCTOS ALIMENTICIOS, AGROPECUARIOS Y FORESTALES ADQUIRIDOS COMO MATERIA PRIMA</t>
  </si>
  <si>
    <t>INSUMOS TEXTILES ADQUIRIDOS COMO MATERIA PRIMA</t>
  </si>
  <si>
    <t>PRODUCTOS DE PAPEL, CARTÓN E IMPRESOS ADQUIRIDOS COMO MATERIA PRIMA</t>
  </si>
  <si>
    <t>COMBUSTIBLES, LUBRICANTES, ADITIVOS, CARBÓN Y SUS DERIVADOS ADQUIRIDOS COMO MATERIA PRIMA</t>
  </si>
  <si>
    <t>PRODUCTOS QUÍMICOS, FARMACÉUTICOS Y DE LABORATORIO ADQUIRIDOS COMO MATERIA PRIMA</t>
  </si>
  <si>
    <t>PRODUCTOS METÁLICOS Y A BASE DE MINERALES NO METÁLICOS ADQUIRIDOS COMO MATERIA PRIMA</t>
  </si>
  <si>
    <t>PRODUCTOS DE CUERO, PIEL, PLÁSTICO Y HULE ADQUIRIDOS COMO MATERIA PRIMA</t>
  </si>
  <si>
    <t>MERCANCÍAS ADQUIRIDAS PARA SU COMERCIALIZACIÓN</t>
  </si>
  <si>
    <t>OTROS PRODUCTOS ADQUIRIDOS COMO MATERIA PRIMA</t>
  </si>
  <si>
    <t>PRODUCTOS MINERALES NO METÁLICOS</t>
  </si>
  <si>
    <t>CEMENTO Y PRODUCTOS DE CONCRETO</t>
  </si>
  <si>
    <t>CAL, YESO Y PRODUCTOS DE YESO</t>
  </si>
  <si>
    <t>MADERA Y PRODUCTOS DE MADERA</t>
  </si>
  <si>
    <t>VIDRIO Y PRODUCTOS DE VIDRIO</t>
  </si>
  <si>
    <t>MATERIAL ELÉCTRICO Y ELECTRÓNICO</t>
  </si>
  <si>
    <t>ARTÍCULOS METÁLICOS PARA LA CONSTRUCCIÓN</t>
  </si>
  <si>
    <t>MATERIALES COMPLEMENTARIOS</t>
  </si>
  <si>
    <t>MATERIAL DE SEÑALIZACIÓN</t>
  </si>
  <si>
    <t>ARBOLES Y PLANTAS DE ORNATO</t>
  </si>
  <si>
    <t>OTROS MATERIALES Y ARTÍCULOS DE CONSTRUCCIÓN Y REPARACIÓN</t>
  </si>
  <si>
    <t>PRODUCTOS QUÍMICOS BÁSICOS</t>
  </si>
  <si>
    <t>FERTILIZANTES, PESTICIDAS Y OTROS AGROQUÍMICOS</t>
  </si>
  <si>
    <t>MEDICINAS Y PRODUCTOS FARMACÉUTICOS</t>
  </si>
  <si>
    <t>MATERIALES, ACCESORIOS Y SUMINISTROS MÉDICOS</t>
  </si>
  <si>
    <t>MATERIALES, ACCESORIOS Y SUMINISTROS DE LABORATORIO</t>
  </si>
  <si>
    <t>FIBRAS SINTÉTICAS, HULES, PLÁSTICOS Y DERIVADOS</t>
  </si>
  <si>
    <t>OTROS PRODUCTOS QUÍMICOS</t>
  </si>
  <si>
    <t>COMBUSTIBLES, LUBRICANTES Y ADITIVOS</t>
  </si>
  <si>
    <t>GAS</t>
  </si>
  <si>
    <t>CARBÓN Y SUS DERIVADOS</t>
  </si>
  <si>
    <t>VESTUARIO Y UNIFORMES</t>
  </si>
  <si>
    <t>PRENDAS DE SEGURIDAD Y PROTECCIÓN PERSONAL</t>
  </si>
  <si>
    <t>ARTÍCULOS DEPORTIVOS</t>
  </si>
  <si>
    <t>PRODUCTOS TEXTILES</t>
  </si>
  <si>
    <t>BLANCOS Y OTROS PRODUCTOS TEXTILES, EXCEPTO PRENDAS DE VESTIR</t>
  </si>
  <si>
    <t>SUSTANCIAS Y MATERIALES EXPLOSIVOS</t>
  </si>
  <si>
    <t>MATERIALES DE SEGURIDAD PÚBLICA</t>
  </si>
  <si>
    <t>PRENDAS DE PROTECCIÓN PARA SEGURIDAD PÚBLICA Y NACIONAL</t>
  </si>
  <si>
    <t>HERRAMIENTAS MENORES</t>
  </si>
  <si>
    <t>REFACCIONES Y ACCESORIOS MENORES DE EDIFICIOS</t>
  </si>
  <si>
    <t>REFACCIONES Y ACCESORIOS MENORES DE MOBILIARIO Y EQUIPO DE ADMINISTRACIÓN, EDUCACIONAL Y RECREATIVO</t>
  </si>
  <si>
    <t>REFACCIONES Y ACCESORIOS MENORES DE EQUIPO DE CÓMPUTO Y TECNOLOGÍAS DE LA INFORMACIÓN</t>
  </si>
  <si>
    <t>REFACCIONES Y ACCESORIOS MENORES DE EQUIPO E INSTRUMENTAL MÉDICO Y DE LABORATORIO</t>
  </si>
  <si>
    <t>REFACCIONES Y ACCESORIOS MENORES DE EQUIPO DE TRANSPORTE</t>
  </si>
  <si>
    <t>REFACCIONES Y ACCESORIOS MENORES DE EQUIPO DE DEFENSA Y SEGURIDAD</t>
  </si>
  <si>
    <t>REFACCIONES Y ACCESORIOS MENORES DE MAQUINARIA Y OTROS EQUIPOS</t>
  </si>
  <si>
    <t>REFACCIONES Y ACCESORIOS MENORES OTROS BIENES MUEBLES</t>
  </si>
  <si>
    <t>ENERGÍA ELÉCTRICA</t>
  </si>
  <si>
    <t>SERVIO DE ENERGIA ELECTRICA PARA ALUMBRADO PUBLICO</t>
  </si>
  <si>
    <t>AGUA</t>
  </si>
  <si>
    <t>TELEFONÍA TRADICIONAL</t>
  </si>
  <si>
    <t>SERVICIO DE TELEFONÍA CELULAR</t>
  </si>
  <si>
    <t>SERVICIOS DE TELECOMUNICACIONES Y SATÉLITES</t>
  </si>
  <si>
    <t>SERVICIOS DE ACCESO DE INTERNET, REDES Y PROCESAMIENTO DE INFORMACIÓN</t>
  </si>
  <si>
    <t>SERVICIOS POSTALES Y TELEGRÁFICOS</t>
  </si>
  <si>
    <t>SERVICIOS DE PAQUETERIA Y MENSAJERÍA</t>
  </si>
  <si>
    <t>SERVICIOS INTEGRALES Y OTROS SERVICIOS</t>
  </si>
  <si>
    <t>ARRENDAMIENTO DE TERRENOS</t>
  </si>
  <si>
    <t>ARRENDAMIENTO DE EDIFICIOS</t>
  </si>
  <si>
    <t>ARRENDAMIENTO DE MOBILIARIO Y EQUIPO DE ADMINISTRACIÓN, EDUCACIONAL Y RECREATIVO</t>
  </si>
  <si>
    <t>ARRENDAMIENTO DE EQUIPO E INSTRUMENTAL MÉDICO Y DE LABORATORIO</t>
  </si>
  <si>
    <t>ARRENDAMIENTO DE EQUIPO DE TRANSPORTE</t>
  </si>
  <si>
    <t>ARRENDAMIENTO DE MAQUINARIA, OTROS EQUIPOS Y HERRAMIENTAS</t>
  </si>
  <si>
    <t>ARRENDAMIENTO DE ACTIVOS INTANGIBLES</t>
  </si>
  <si>
    <t>ARRENDAMIENTO FINANCIERO</t>
  </si>
  <si>
    <t>OTROS ARRENDAMIENTOS</t>
  </si>
  <si>
    <t>SERVICIOS LEGALES, DE CONTABILIDAD, AUDITORÍA Y RELACIONADOS</t>
  </si>
  <si>
    <t>SERVICIOS DE DISEÑO, ARQUITECTURA, DE INGENIERÍA Y ACTIVIDADES RELACIONADAS</t>
  </si>
  <si>
    <t>SERVICIOS DE CONSULTORÍA ADMINISTRATIVA, PROCESOS, TÉCNICA Y EN TECNOLOGÍAS DE LA INFORMACIÓN</t>
  </si>
  <si>
    <t>SERVICIOS DE CAPACITACIÓN</t>
  </si>
  <si>
    <t>SERVICIOS DE INVESTIGACIÓN CIENTÍFICA Y DESARROLLO</t>
  </si>
  <si>
    <t>SERVICIOS DE APOYO ADMINISTRATIVO, TRADUCCIÓN, FOTOCOPIADO E IMPRESIÓN</t>
  </si>
  <si>
    <t>SERVICIOS DE PROTECCIÓN Y SEGURIDAD</t>
  </si>
  <si>
    <t>SERVICIO DE VIGILANCIA</t>
  </si>
  <si>
    <t>SERVICIOS PROFESIONALES, CIENTÍFICOS Y TÉCNICOS INTEGRALES</t>
  </si>
  <si>
    <t>SERVICIOS FINANCIEROS Y BANCARIOS</t>
  </si>
  <si>
    <t>SERVICIOS DE COBRANZA, INVESTIGACIÓN CREDITICIA Y SIMILAR</t>
  </si>
  <si>
    <t>SERVICIOS DE RECAUDACIÓN, TRASLADO Y CUSTODIA DE VALORES</t>
  </si>
  <si>
    <t>SEGURO DE RESPONSABILIDAD PATRIMONIAL Y FIANZAS</t>
  </si>
  <si>
    <t>SEGURO DE BIENES PATRIMONIALES</t>
  </si>
  <si>
    <t>ALMACENAJE, ENVASE Y EMBALAJE</t>
  </si>
  <si>
    <t>FLETES Y MANIOBRAS</t>
  </si>
  <si>
    <t>COMISIONES POR VENTAS</t>
  </si>
  <si>
    <t>SERVICIOS FINANCIEROS, BANCARIOS Y COMERCIALES INTEGRALES</t>
  </si>
  <si>
    <t>CONSERVACIÓN Y MANTENIMIENTO MENOR DE INMUEBLES</t>
  </si>
  <si>
    <t>INSTALACIÓN, REPARACIÓN Y MANTENIMIENTO DE MOBILIARIO Y EQUIPO DE ADMINISTRACIÓN, EDUCACIONAL Y RECREATIVO</t>
  </si>
  <si>
    <t>INSTALACIÓN, REPARACIÓN Y MANTENIMIENTO DE EQUIPO DE CÓMPUTO Y TECNOLOGÍAS DE LA INFORMACIÓN</t>
  </si>
  <si>
    <t>INSTALACIÓN, REPARACIÓN Y MANTENIMIENTO DE EQUIPO E INSTRUMENTAL MÉDICO Y DE LABORATORIO</t>
  </si>
  <si>
    <t>REPARACIÓN Y MANTENIMIENTO DE EQUIPO DE TRANSPORTE</t>
  </si>
  <si>
    <t>REPARACIÓN Y MANTENIMIENTO DE EQUIPO DE DEFENSA Y SEGURIDAD</t>
  </si>
  <si>
    <t>INSTALACIÓN, REPARACIÓN Y MANTENIMIENTO DE MAQUINARIA, OTROS EQUIPOS Y HERRAMIENTA</t>
  </si>
  <si>
    <t>SERVICIOS DE LIMPIEZA Y MANEJO DE DESECHOS</t>
  </si>
  <si>
    <t>SERVICIOS DE JARDINERÍA Y FUMIGACIÓN</t>
  </si>
  <si>
    <t>DIFUSIÓN POR RADIO, TELEVISIÓN Y OTROS MEDIOS DE MENSAJES SOBRE PROGRAMAS Y ACTIVIDADES GUBERNAMENTALES</t>
  </si>
  <si>
    <t>DIFUSIÓN POR RADIO, TELEVISIÓN Y OTROS MEDIOS DE MENSAJES COMERCIALES PARA PROMOVER LA VENTA DE BIENES O SERVICIOS</t>
  </si>
  <si>
    <t>SERVICIOS DE CREATIVIDAD, PREPRODUCCIÓN Y PRODUCCIÓN DE PUBLICIDAD, EXCEPTO INTERNET</t>
  </si>
  <si>
    <t>SERVICIOS DE REVELADO DE FOTOGRAFÍAS</t>
  </si>
  <si>
    <t>SERVICIOS DE LA INDUSTRIA FÍLMICA, DEL SONIDO Y DEL VIDEO</t>
  </si>
  <si>
    <t>SERVICIO DE CREACIÓN Y DIFUSIÓN DE CONTENIDO EXCLUSIVAMENTE A TRAVÉS DE INTERNET</t>
  </si>
  <si>
    <t>OTROS SERVICIOS DE INFORMACIÓN</t>
  </si>
  <si>
    <t>PASAJES AÉREOS</t>
  </si>
  <si>
    <t>PASAJES TERRESTRES</t>
  </si>
  <si>
    <t>PASAJES MARÍTIMOS, LACUSTRES Y FLUVIALES</t>
  </si>
  <si>
    <t>AUTOTRANSPORTE</t>
  </si>
  <si>
    <t>VIÁTICOS EN EL PAÍS</t>
  </si>
  <si>
    <t>ALIMENTOS NACIONALES</t>
  </si>
  <si>
    <t>VIÁTICOS EN EL EXTRANJERO</t>
  </si>
  <si>
    <t>GASTOS DE INSTALACIÓN Y TRASLADO DE MENAJE</t>
  </si>
  <si>
    <t>SERVICIOS INTEGRALES DE TRASLADO Y VIÁTICOS</t>
  </si>
  <si>
    <t>OTROS SERVICIOS DE TRASLADO Y HOSPEDAJE</t>
  </si>
  <si>
    <t>GASTOS DE CEREMONIAL</t>
  </si>
  <si>
    <t>GASTOS DE ORDEN SOCIAL Y CULTURAL</t>
  </si>
  <si>
    <t>CONGRESOS Y CONVENCIONES</t>
  </si>
  <si>
    <t>EXPOSICIONES,  FERIAS Y FESTIVALES</t>
  </si>
  <si>
    <t>GASTOS DE REPRESENTACIÓN</t>
  </si>
  <si>
    <t>SERVICIOS FUNERARIOS Y DE CEMENTERIOS</t>
  </si>
  <si>
    <t>IMPUESTOS Y DERECHOS</t>
  </si>
  <si>
    <t>OTROS IMPUESTOS Y DERECHOS</t>
  </si>
  <si>
    <t>IMPUESTOS Y DERECHOS DE IMPORTACIÓN</t>
  </si>
  <si>
    <t>SENTENCIAS Y RESOLUCIONES POR AUTORIDAD COMPETENTE</t>
  </si>
  <si>
    <t>PENAS, MULTAS, ACCESORIOS Y ACTUALIZACIONES</t>
  </si>
  <si>
    <t>OTROS GASTOS POR RESPONSABILIDADES</t>
  </si>
  <si>
    <t>UTILIDADES</t>
  </si>
  <si>
    <t>IMPUESTO SOBRE NÓMINAS Y OTROS QUE SE DERIVEN DE UNA RELACIÓN LABORAL</t>
  </si>
  <si>
    <t>OTROS SERVICIOS GENERALES</t>
  </si>
  <si>
    <t>ESTUDIO Y ANALISIS CLINICO PARA EL PERSONAL DE SEGURIDAD PUBLICA</t>
  </si>
  <si>
    <t>ASIGNACIONES PRESUPUESTARIAS AL PODER EJECUTIVO</t>
  </si>
  <si>
    <t>TRANSFERENCIAS OTORGADAS PARA INSTITUCIONES PARAESTATALES PÚBLICAS FINANCIERAS</t>
  </si>
  <si>
    <t>TRANSFERENCIAS A FIDEICOMISOS DE ENTIDADES FEDERATIVAS Y MUNICIPIOS</t>
  </si>
  <si>
    <t>SUBSIDIOS A LA INVERSIÓN</t>
  </si>
  <si>
    <t>SUBSIDIOS A LA PRESTACIÓN DE SERVICIOS PÚBLICOS</t>
  </si>
  <si>
    <t>SUBSIDIOS PARA CUBRIR DIFERENCIALES DE TASAS DE INTERÉS</t>
  </si>
  <si>
    <t>SUBSIDIOS A LA VIVIENDA</t>
  </si>
  <si>
    <t>SUBVENCIONES AL CONSUMO</t>
  </si>
  <si>
    <t>SUBSIDIOS A ENTIDADES FEDERATIVAS Y MUNICIPIOS</t>
  </si>
  <si>
    <t>OTROS SUBSIDIOS</t>
  </si>
  <si>
    <t>AYUDAS SOCIALES A PERSONAS</t>
  </si>
  <si>
    <t>AYUDAS A LA POBLACIÓN VULNERABLE</t>
  </si>
  <si>
    <t>GASTOS RELACIONADOS CON ACTIVIDADES CULTURALES, DEPORTIVAS</t>
  </si>
  <si>
    <t>SUBSIDIO AL IMPUESTO PREDIAL</t>
  </si>
  <si>
    <t>DESCUENTOS AUTORIZADOS</t>
  </si>
  <si>
    <t>BECAS Y OTRAS AYUDAS PARA PROGRAMAS DE CAPACITACIÓN</t>
  </si>
  <si>
    <t>PREMIOS, ESTÍMULOS, RECOMPENSAS, BECAS Y SEGUROS A DEPORTISTAS</t>
  </si>
  <si>
    <t>AYUDAS SOCIALES A INSTITUCIONES DE ENSEÑANZA</t>
  </si>
  <si>
    <t>AYUDAS SOCIALES A ACTIVIDADES CIENTÍFICAS O ACADÉMICAS</t>
  </si>
  <si>
    <t>AYUDAS SOCIALES A INSTITUCIONES SIN FINES DE LUCRO</t>
  </si>
  <si>
    <t>AYUDAS SOCIALES A COOPERATIVAS</t>
  </si>
  <si>
    <t>AYUDAS SOCIALES A ENTIDADES DE INTERÉS PÚBLICO</t>
  </si>
  <si>
    <t>AYUDAS POR DESASTRES NATURALES Y OTROS SINIESTROS</t>
  </si>
  <si>
    <t>PENSIONES</t>
  </si>
  <si>
    <t>JUBILACIONES</t>
  </si>
  <si>
    <t>OTRAS PENSIONES Y JUBILACIONES</t>
  </si>
  <si>
    <t>TRANSFERENCIAS A FIDEICOMISOS DEL PODER EJECUTIVO</t>
  </si>
  <si>
    <t>TRANSFERENCIAS A FIDEICOMISOS DEL PODER LEGISLATIVO</t>
  </si>
  <si>
    <t>TRANSFERENCIAS A FIDEICOMISOS DEL PODER JUDICIAL</t>
  </si>
  <si>
    <t>TRANSFERENCIAS A FIDEICOMISOS PÚBLICOS DE ENTIDADES PARAESTATALES NO EMPRESARIALES Y NO FINANCIERAS</t>
  </si>
  <si>
    <t>TRANSFERENCIAS A FIDEICOMISOS PÚBLICOS DE ENTIDADES PARAESTATALES EMPRESARIALES Y NO FINANCIERAS</t>
  </si>
  <si>
    <t>TRANSFERENCIAS A FIDEICOMISOS DE INSTITUCIONES PÚBLICAS FINANCIERAS</t>
  </si>
  <si>
    <t>OTRAS TRANSFERENCIAS A FIDEICOMISOS</t>
  </si>
  <si>
    <t>TRANSFERENCIAS POR OBLIGACIÓN DE LEY</t>
  </si>
  <si>
    <t>DONATIVOS A INSTITUCIONES SIN FINES DE LUCRO</t>
  </si>
  <si>
    <t>DONATIVOS A ENTIDADES FEDERATIVAS</t>
  </si>
  <si>
    <t>DONATIVOS A FIDEICOMISOS PRIVADOS</t>
  </si>
  <si>
    <t>DONATIVOS A FIDEICOMISOS ESTATALES</t>
  </si>
  <si>
    <t>DONATIVOS INTERNACIONALES</t>
  </si>
  <si>
    <t>TRANSFERENCIAS PARA GOBIERNOS EXTRANJEROS</t>
  </si>
  <si>
    <t>TRANSFERENCIAS PARA ORGANISMOS INTERNACIONALES</t>
  </si>
  <si>
    <t>TRANSFERENCIAS PARA EL SECTOR PRIVADO EXTERNO</t>
  </si>
  <si>
    <t>MUEBLES DE OFICINA Y ESTANTERÍA</t>
  </si>
  <si>
    <t>MUEBLES, EXCEPTO DE OFICINA Y ESTANTERÍA</t>
  </si>
  <si>
    <t>BIENES ARTÍSTICOS, CULTURALES Y CIENTÍFICOS</t>
  </si>
  <si>
    <t>OBJETOS DE VALOR</t>
  </si>
  <si>
    <t>EQUIPO DE CÓMPUTO Y DE TECNOLOGÍAS DE LA INFORMACIÓN</t>
  </si>
  <si>
    <t>OTROS MOBILIARIOS Y EQUIPOS DE ADMINISTRACIÓN</t>
  </si>
  <si>
    <t>OTROS EQUIPOS DE ADMINISTRACION Y PRODUCCION</t>
  </si>
  <si>
    <t>EQUIPOS Y APARATOS AUDIOVISUALES</t>
  </si>
  <si>
    <t>APARATOS DEPORTIVOS</t>
  </si>
  <si>
    <t>CÁMARAS FOTOGRÁFICAS Y DE VIDEO</t>
  </si>
  <si>
    <t>OTRO MOBILIARIO Y EQUIPO EDUCACIONAL Y RECREATIVO</t>
  </si>
  <si>
    <t>EQUIPO MÉDICO Y DE LABORATORIO</t>
  </si>
  <si>
    <t>INSTRUMENTAL MÉDICO Y DE LABORATORIO</t>
  </si>
  <si>
    <t>VEHÍCULOS Y EQUIPO TERRESTRE</t>
  </si>
  <si>
    <t>CARROCERÍAS Y REMOLQUES</t>
  </si>
  <si>
    <t>EQUIPO AEROESPACIAL</t>
  </si>
  <si>
    <t>EQUIPO FERROVIARIO</t>
  </si>
  <si>
    <t>EMBARCACIONES</t>
  </si>
  <si>
    <t>OTROS EQUIPOS DE TRANSPORTE</t>
  </si>
  <si>
    <t>EQUIPO DE SEGURIDAD PÚBLICA</t>
  </si>
  <si>
    <t>MAQUINARIA Y EQUIPO AGROPECUARIO</t>
  </si>
  <si>
    <t>MAQUINARIA Y EQUIPO INDUSTRIAL</t>
  </si>
  <si>
    <t>MAQUINARIA Y EQUIPO DE CONSTRUCCIÓN</t>
  </si>
  <si>
    <t>SISTEMAS DE AIRE ACONDICIONADO, CALEFACCIÓN Y DE REFRIGERACIÓN INDUSTRIAL Y COMERCIAL</t>
  </si>
  <si>
    <t>EQUIPO DE COMUNICACIÓN Y TELECOMUNICACIÓN</t>
  </si>
  <si>
    <t>EQUIPOS DE GENERACIÓN ELÉCTRICA, APARATOS Y ACCESORIOS ELÉCTRICOS</t>
  </si>
  <si>
    <t>HERRAMIENTAS Y MÁQUINA–HERRAMIENTA</t>
  </si>
  <si>
    <t>OTROS EQUIPOS</t>
  </si>
  <si>
    <t>MAQUINARIA Y EQUIPO DIVERSO</t>
  </si>
  <si>
    <t>BOVINOS</t>
  </si>
  <si>
    <t>PORCINOS</t>
  </si>
  <si>
    <t>AVES</t>
  </si>
  <si>
    <t>OVINOS Y CAPRINOS</t>
  </si>
  <si>
    <t>PECES Y ACUICULTURA</t>
  </si>
  <si>
    <t>EQUINOS</t>
  </si>
  <si>
    <t>ESPECIES MENORES Y DE ZOOLÓGICO</t>
  </si>
  <si>
    <t>ÁRBOLES Y PLANTAS</t>
  </si>
  <si>
    <t>OTROS ACTIVOS BIOLÓGICOS</t>
  </si>
  <si>
    <t>TERRENOS</t>
  </si>
  <si>
    <t>VIVIENDAS</t>
  </si>
  <si>
    <t>EDIFICIOS NO RESIDENCIALES</t>
  </si>
  <si>
    <t>OTROS BIENES INMUEBLES</t>
  </si>
  <si>
    <t>SOFTWARE</t>
  </si>
  <si>
    <t>PATENTES</t>
  </si>
  <si>
    <t>MARCAS</t>
  </si>
  <si>
    <t>DERECHOS</t>
  </si>
  <si>
    <t>CONCESIONES</t>
  </si>
  <si>
    <t>FRANQUICIAS</t>
  </si>
  <si>
    <t>LICENCIAS INFORMÁTICAS E INTELECTUALES</t>
  </si>
  <si>
    <t>LICENCIAS INDUSTRIALES, COMERCIALES Y OTRAS</t>
  </si>
  <si>
    <t>OTROS ACTIVOS INTANGIBLES</t>
  </si>
  <si>
    <t>EDIFICACIÓN HABITACIONAL</t>
  </si>
  <si>
    <t>EDIFICACIÓN NO HABITACIONAL</t>
  </si>
  <si>
    <t>OBRAS PARA ABASTECIMIENTO DE AGUA, PETRÓLEO Y GAS</t>
  </si>
  <si>
    <t>OBRAS PARA EL ABASTECIMIENTO DE ELECTRICIDAD</t>
  </si>
  <si>
    <t>OBRAS PARA EL ABASTECIMIENTO DE TELECOMUNICACIONES</t>
  </si>
  <si>
    <t>DIVISIÓN DE TERRENOS Y CONSTRUCCIÓN DE OBRAS DE URBANIZACIÓN</t>
  </si>
  <si>
    <t>CONSTRUCCIÓN Y/O REHABILITACIÓN DE INFRAESTRUCTURA SANITARIA EN AGUA POTABLE Y ALCANTARILLADO</t>
  </si>
  <si>
    <t>CONSTRUCCIÓN DE VÍAS DE COMUNICACIÓN</t>
  </si>
  <si>
    <t>OTRAS CONSTRUCCIONES DE INGENIERÍA CIVIL U OBRA PESADA</t>
  </si>
  <si>
    <t>INSTALACIONES Y EQUIPAMIENTO EN CONSTRUCCIONES</t>
  </si>
  <si>
    <t>TRABAJOS DE ACABADOS EN EDIFICACIONES Y OTROS TRABAJOS ESPECIALIZADOS</t>
  </si>
  <si>
    <t>EDIFICACIÓN HABITACIONAL TRANSFERIBLE</t>
  </si>
  <si>
    <t>CONSTRUCCIÓN Y/O REHABILITACIÓN DE ESCUELAS Y ESPACIOS EDUCATIVOS</t>
  </si>
  <si>
    <t>CONSTRUCCIÓN Y/O REHABILITACIÓN DE HOSPITALES Y CENTROS DE SALUD</t>
  </si>
  <si>
    <t>CONSTRUCCIÓN Y/O REHABILITACIÓN DE ESPACIOS DEPORTIVOS</t>
  </si>
  <si>
    <t>CONSTRUCCIÓN Y/O REHABILITACIÓN DE INFRAESTRUCTURA PENITENCIARIA</t>
  </si>
  <si>
    <t>CONSTRUCCIÓN Y/O REHABILITACIÓN DE INFRAESTRUCTURA CULTURAL</t>
  </si>
  <si>
    <t>CONSTRUCCIÓN Y/O REHABILITACIÓN DE INFRAESTRUCTURA SOCIAL</t>
  </si>
  <si>
    <t>CONSTRUCCIÓN Y/O REHABILITACIÓN DE INFRAESTRUCTURA TURÍSTICA</t>
  </si>
  <si>
    <t>CONSTRUCCIÓN Y/O REHABILITACIÓN DE EDIFICIOS PÚBLICOS</t>
  </si>
  <si>
    <t>CONSTRUCCIÓN Y/O REHABILITACIÓN DE ESCUELAS Y ESPACIOS EDUCATIVOS TRANSFERIBLE</t>
  </si>
  <si>
    <t>CONSTRUCCIÓN Y/O REHABILITACIÓN DE HOSPITALES Y CENTROS DE SALUD TRANSFERIBLES</t>
  </si>
  <si>
    <t>CONSTRUCCIÓN Y/O REHABILITACIÓN DE ESPACIOS DEPORTIVOS TRANSFERIBLES</t>
  </si>
  <si>
    <t>CONSTRUCCIÓN Y/O REHABILITACIÓN DE INFRAESTRUCTURA PENITENCIARIA TRANSFERIBLES</t>
  </si>
  <si>
    <t>CONSTRUCCIÓN Y/O REHABILITACIÓN DE INFRAESTRUCTURA CULTURAL TRANSFERIBLES</t>
  </si>
  <si>
    <t>CONSTRUCCIÓN Y/O REHABILITACIÓN DE INFRAESTRUCTURA SOCIAL TRANSFERIBLE</t>
  </si>
  <si>
    <t>CONSTRUCCIÓN Y/O REHABILITACIÓN DE INFRAESTRUCTURA TURÍSTICA TRANSFERIBLES</t>
  </si>
  <si>
    <t>CONSTRUCCIÓN Y/O REHABILITACIÓN DE EDIFICIOS PÚBLICOS TRANSFERIBLES</t>
  </si>
  <si>
    <t>CONSTRUCCIÓN DE OBRAS PARA EL ABASTECIMIENTO DE AGUA, PETRÓLEO, GAS, ELECTRICIDAD Y TELECOMUNICACIONES</t>
  </si>
  <si>
    <t>CONSTRUCCIÓN DE OBRAS PARA EL ABASTECIMIENTO DE AGUA, PETRÓLEO, GAS, ELECTRICIDAD Y TELECOMUNICACIONES TRANSFERIBLES</t>
  </si>
  <si>
    <t>DIVISIÓN DE TERRENOS Y CONSTRUCCIÓN DE OBRAS DE URBANIZACIÓN TRANSFERIBLES</t>
  </si>
  <si>
    <t>CONSTRUCCIÓN DE VÍAS DE COMUNICACIÓN TRANSFERIBLES</t>
  </si>
  <si>
    <t>CONSTRUCCIÓN DE VÍAS DE COMUNICACIÓN INFRAESTRUCTURA</t>
  </si>
  <si>
    <t>ESTUDIOS, FORMULACIÓN Y EVALUACIÓN DE PROYECTOS PRODUCTIVOS NO INCLUIDOS EN CONCEPTOS ANTERIORES DE ESTE CAPÍTULO</t>
  </si>
  <si>
    <t>PROYECTOS PRODUCTIVOS Y ACCIONES DE FOMENTO SOCIAL</t>
  </si>
  <si>
    <t>PROYECTOS PRODUCTIVOS Y ACCIONES DE FOMENTO EDUCATIVO, CULTURAL Y DEPORTIVO</t>
  </si>
  <si>
    <t>PROYECTOS PRODUCTIVOS Y ACCIONES DE FOMENTO ECONÓMICO Y TURÍSTICO</t>
  </si>
  <si>
    <t>PROYECTOS PRODUCTIVOS Y ACCIONES DE FOMENTO AGROPECUARIO</t>
  </si>
  <si>
    <t>PROYECTOS PRODUCTIVOS Y ACCIONES DE FOMENTO ECOLÓGICO</t>
  </si>
  <si>
    <t>PROYECTOS PRODUCTIVOS Y ACCIONES DE FOMENTO EN MATERIA DE SEGURIDAD PÚBLICA</t>
  </si>
  <si>
    <t>PROYECTOS PRODUCTIVOS Y ACCIONES DE FOMENTO A LA SALUD</t>
  </si>
  <si>
    <t>PROYECTOS PRODUCTIVOS Y ACCIONES DE FOMENTO URBANO Y DE VÍAS DE COMUNICACIÓN</t>
  </si>
  <si>
    <t>OTROS PROYECTOS PRODUCTIVOS Y ACCIONES DE FOMENTO</t>
  </si>
  <si>
    <t>COG</t>
  </si>
  <si>
    <t>Unidad Administrativa</t>
  </si>
  <si>
    <t>Concepto de U.A</t>
  </si>
  <si>
    <t>Proyecto</t>
  </si>
  <si>
    <t>Concepto de Proyecto</t>
  </si>
  <si>
    <t>Concepto de F.F</t>
  </si>
  <si>
    <t>Objeto de Gasto</t>
  </si>
  <si>
    <t>Concepto de COG</t>
  </si>
  <si>
    <t>Tipo de Gasto</t>
  </si>
  <si>
    <t>Importe</t>
  </si>
  <si>
    <t>Municipio De Rincon De Romos</t>
  </si>
  <si>
    <t>026</t>
  </si>
  <si>
    <t>MODERNIZACIÓN DE SEGURIDAD PÚBLICA</t>
  </si>
  <si>
    <t xml:space="preserve">  ATENCIÓN Y PARTICIPACIÓN CIUDADANA</t>
  </si>
  <si>
    <t xml:space="preserve">  Informe de gobierno</t>
  </si>
  <si>
    <t xml:space="preserve">  Cabalgata de la Independencia</t>
  </si>
  <si>
    <t xml:space="preserve">  Intendentes</t>
  </si>
  <si>
    <t>Panteones Municipales - Fosas y Gavetas</t>
  </si>
  <si>
    <t xml:space="preserve">Alumbrado Público </t>
  </si>
  <si>
    <t>COMUNICACIÓN SOCIAL Y RELACIONES PÚBLICAS</t>
  </si>
  <si>
    <t xml:space="preserve">  MUNICIPIO INCLUYENTE Y GARANTE DE LOS DERECHOS HUMANOS</t>
  </si>
  <si>
    <t xml:space="preserve">  CABILDO ABIERTO</t>
  </si>
  <si>
    <t xml:space="preserve">  Fiestas Patrias</t>
  </si>
  <si>
    <t xml:space="preserve">  SEGURIDAD JURIDICA MUNICIPAL</t>
  </si>
  <si>
    <t xml:space="preserve">  DESARROLLO SOCIAL</t>
  </si>
  <si>
    <t xml:space="preserve">  PARTICIPACIÓN Y ATENCIÓN CIUDADANA (EQUINOTERAPIA)</t>
  </si>
  <si>
    <t xml:space="preserve">  Programa Apoyo básico a la vivienda</t>
  </si>
  <si>
    <t xml:space="preserve">  Rincón impermeabiliza</t>
  </si>
  <si>
    <t xml:space="preserve">  Promoción de los derechos ciudadanos y no discriminación</t>
  </si>
  <si>
    <t xml:space="preserve">  Pintafachadas</t>
  </si>
  <si>
    <t>Juntos Transformando tu vivienda - Calentadores</t>
  </si>
  <si>
    <t>Transporte escolar (unidad móvil para escuelas)</t>
  </si>
  <si>
    <t xml:space="preserve">  ATENCIÓN A GRUPOS EN SITUACIÓN DE VULNERABILIDAD</t>
  </si>
  <si>
    <t xml:space="preserve">  CENDI</t>
  </si>
  <si>
    <t xml:space="preserve">  Talleristas</t>
  </si>
  <si>
    <t xml:space="preserve">  Club de la Tercera edad</t>
  </si>
  <si>
    <t xml:space="preserve">  Comedor comunitario</t>
  </si>
  <si>
    <t xml:space="preserve">  Día de Reyes</t>
  </si>
  <si>
    <t xml:space="preserve">  Día de la Familia</t>
  </si>
  <si>
    <t xml:space="preserve">  Día del niño</t>
  </si>
  <si>
    <t xml:space="preserve">  Día de la Madre</t>
  </si>
  <si>
    <t xml:space="preserve">  Día del Maestro</t>
  </si>
  <si>
    <t xml:space="preserve">  Día del abuelo</t>
  </si>
  <si>
    <t xml:space="preserve">  Transformando la navidad</t>
  </si>
  <si>
    <t xml:space="preserve">Convivio Navideño </t>
  </si>
  <si>
    <t xml:space="preserve">  INSTANCIA DE LA JUVENTUD</t>
  </si>
  <si>
    <t xml:space="preserve">  Museografía</t>
  </si>
  <si>
    <t xml:space="preserve">  Día Internacional de la juventud</t>
  </si>
  <si>
    <t>INSTANCIA DE LA MUJER</t>
  </si>
  <si>
    <t>Inclusión, equidad y desarrollo para las familias Rinconenses</t>
  </si>
  <si>
    <t>Equidad de Niños, Niñas , Adolescentes y Mujeres</t>
  </si>
  <si>
    <t xml:space="preserve">  PROMOCIÓN DEL DESARROLLO ECONÓMICO</t>
  </si>
  <si>
    <t xml:space="preserve">  Feria Nacional de Rincón</t>
  </si>
  <si>
    <t xml:space="preserve">  Feria de Pabellón de Hidalgo</t>
  </si>
  <si>
    <t xml:space="preserve">  Festival de la fundación del Rincón de Romos</t>
  </si>
  <si>
    <t>Festival del Polvorero</t>
  </si>
  <si>
    <t xml:space="preserve">  Participación en Feria de Abril</t>
  </si>
  <si>
    <t xml:space="preserve">  Festival de la birria</t>
  </si>
  <si>
    <t xml:space="preserve">  Encuentro de almas</t>
  </si>
  <si>
    <t xml:space="preserve">  Festividades de Guadalupe</t>
  </si>
  <si>
    <t xml:space="preserve">  Navidad en Rincón</t>
  </si>
  <si>
    <t xml:space="preserve">  Rutas turísticas (Vagón Turístico)</t>
  </si>
  <si>
    <t xml:space="preserve">  Pabellón Pueblo Mágico y sus exposiciones</t>
  </si>
  <si>
    <t xml:space="preserve">  Cultura </t>
  </si>
  <si>
    <t xml:space="preserve">  Fomento al uso de semilla mejorada de maíz de riego en el Municipio de Rincón de Romos</t>
  </si>
  <si>
    <t xml:space="preserve">  Fomento al uso de semilla mejorada de maíz y frijol de temporal</t>
  </si>
  <si>
    <t xml:space="preserve">  Rehabilitación de caminos sacacosechas</t>
  </si>
  <si>
    <t xml:space="preserve">  Equipamiento rural en el Municipio de Rincón de Romos: Herramientas (Cercos perimetrales, cisternas)</t>
  </si>
  <si>
    <t xml:space="preserve">  Fomento al mejoramiento genético bovino en el Municipio de Rincón de Romos</t>
  </si>
  <si>
    <t xml:space="preserve">  Repoblamiento ganadero en el Municipio de Rincón de Romos</t>
  </si>
  <si>
    <t xml:space="preserve">  Tecnificación de la Presa El Saucillo</t>
  </si>
  <si>
    <t xml:space="preserve">  Fomento a la captación de lluvia en el Municipio de Rincón de Romos</t>
  </si>
  <si>
    <t xml:space="preserve">  Programa emergente de avena</t>
  </si>
  <si>
    <t xml:space="preserve">  Fomento a la producción de maquey en el Municipio de Rincón de Romos</t>
  </si>
  <si>
    <t xml:space="preserve">  Capacitación e intercambio de experiencias para productores</t>
  </si>
  <si>
    <t xml:space="preserve">  Coordinación de Fondos de desarrollo Rural y Agropecuario</t>
  </si>
  <si>
    <t xml:space="preserve">  Adquisición de alimentos y sales minerales para ganado bovino</t>
  </si>
  <si>
    <t xml:space="preserve">  Adquisición de forraje (cebada) para ganado bovino</t>
  </si>
  <si>
    <t xml:space="preserve">  CONTROL DEL DESARROLLO URBANO</t>
  </si>
  <si>
    <t xml:space="preserve">  REHABILITACIÓN DE ESPACIOS DEPORTIVOS</t>
  </si>
  <si>
    <t xml:space="preserve">  Campeonatos y rutas de ciclismo</t>
  </si>
  <si>
    <t xml:space="preserve">  Carrera Atlética</t>
  </si>
  <si>
    <t xml:space="preserve">  Ligas deportivas</t>
  </si>
  <si>
    <t xml:space="preserve">  Plan vacacional</t>
  </si>
  <si>
    <t xml:space="preserve">  Torneo navideño</t>
  </si>
  <si>
    <t xml:space="preserve">  Torneo de básquetbol semana santa</t>
  </si>
  <si>
    <t xml:space="preserve">  Apoyo a atletas de alto rendimiento</t>
  </si>
  <si>
    <t xml:space="preserve">  Premio municipal del deporte/Torneos deportivos</t>
  </si>
  <si>
    <t xml:space="preserve">  20 de Noviembre</t>
  </si>
  <si>
    <t xml:space="preserve">  SALUD PÚBLICA</t>
  </si>
  <si>
    <t xml:space="preserve">  Cirugía de ojos</t>
  </si>
  <si>
    <t xml:space="preserve">  Proyecto de diálisis</t>
  </si>
  <si>
    <t xml:space="preserve">  Técnicas de salud</t>
  </si>
  <si>
    <t>Activación Física (Seguimiento resultados Tamizaje)</t>
  </si>
  <si>
    <t>Aseo Público</t>
  </si>
  <si>
    <t>RESARCITORIO 2026</t>
  </si>
  <si>
    <t xml:space="preserve">  Terreno - Donación Hospital del ISSSTE</t>
  </si>
  <si>
    <t xml:space="preserve">  ECOLOGIA</t>
  </si>
  <si>
    <t xml:space="preserve">  OOAPAS</t>
  </si>
  <si>
    <t xml:space="preserve">  MODERNIZACION DE LOS SERVICIOS PUBLICOS</t>
  </si>
  <si>
    <t>Parques y Jardines</t>
  </si>
  <si>
    <t xml:space="preserve">  OBRAS PUBLICAS DESARROLLO ADMINISTRATIVO</t>
  </si>
  <si>
    <t xml:space="preserve">  FINANZAS SANAS: AUSTERIDAD RECAUDACIÓN COBRANZA</t>
  </si>
  <si>
    <t xml:space="preserve">  GOBIERNO TRANSPARENTE</t>
  </si>
  <si>
    <t xml:space="preserve">  OPERACION ADMINISTRATIVA</t>
  </si>
  <si>
    <t>Seguridad Social</t>
  </si>
  <si>
    <t xml:space="preserve">  Día del Servidor público</t>
  </si>
  <si>
    <t>Terreno para Universidad Rosario Castellano</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</si>
  <si>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</si>
  <si>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</si>
  <si>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</si>
  <si>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</si>
  <si>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</si>
  <si>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</si>
  <si>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</si>
  <si>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</si>
  <si>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</si>
  <si>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</si>
  <si>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</si>
  <si>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</si>
  <si>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</si>
  <si>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</si>
  <si>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</si>
  <si>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</si>
  <si>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</si>
  <si>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</si>
  <si>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</si>
  <si>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</si>
  <si>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</si>
  <si>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</si>
  <si>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</si>
  <si>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</si>
  <si>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</si>
  <si>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</si>
  <si>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</si>
  <si>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</si>
  <si>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</si>
  <si>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</si>
  <si>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</si>
  <si>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</si>
  <si>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</si>
  <si>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</si>
  <si>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</si>
  <si>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</si>
  <si>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</si>
  <si>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</si>
  <si>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</si>
  <si>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</si>
  <si>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</si>
  <si>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</si>
  <si>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</si>
  <si>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</si>
  <si>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</si>
  <si>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</si>
  <si>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</si>
  <si>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</si>
  <si>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</si>
  <si>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</si>
  <si>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</si>
  <si>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</si>
  <si>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</si>
  <si>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</si>
  <si>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</si>
  <si>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</si>
  <si>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</si>
  <si>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</si>
  <si>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</si>
  <si>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</si>
  <si>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</si>
  <si>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</si>
  <si>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</si>
  <si>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</si>
  <si>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</si>
  <si>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</si>
  <si>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</si>
  <si>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</si>
  <si>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</si>
  <si>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</si>
  <si>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</si>
  <si>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</si>
  <si>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</si>
  <si>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</si>
  <si>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</si>
  <si>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</si>
  <si>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</si>
  <si>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</si>
  <si>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</si>
  <si>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</si>
  <si>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</si>
  <si>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</si>
  <si>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</si>
  <si>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</si>
  <si>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</si>
  <si>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</si>
  <si>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</si>
  <si>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</si>
  <si>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</si>
  <si>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</si>
  <si>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</si>
  <si>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</si>
  <si>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</si>
  <si>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</si>
  <si>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</si>
  <si>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</si>
  <si>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PRESUPUESTO</t>
  </si>
  <si>
    <t>H Cabildo</t>
  </si>
  <si>
    <t>Coordinación de Gestión Social</t>
  </si>
  <si>
    <t>Dirección  de Comunicación Social y Relaciones Públicas</t>
  </si>
  <si>
    <t>Dirección de la Instancia de la Juventud</t>
  </si>
  <si>
    <t>Coordinación de Gestión y Proyectos Estrategicos</t>
  </si>
  <si>
    <t>Dirección del Sistema para el Desarrollo Integral de la Familia</t>
  </si>
  <si>
    <t>Coordinador de la Estancia Infantil (CENDI- DIF)</t>
  </si>
  <si>
    <t>Dirección de la Instancia de la Mujer</t>
  </si>
  <si>
    <t>Órgano Interno de Control</t>
  </si>
  <si>
    <t>Departamento de Transparencia</t>
  </si>
  <si>
    <t>Autoridad Investigadora</t>
  </si>
  <si>
    <t>Autoridad Substanciadora y Resolutora</t>
  </si>
  <si>
    <t>Secretaría del H. Ayuntamiento y Dirección General de Gobierno</t>
  </si>
  <si>
    <t>Departamento de Archivo General</t>
  </si>
  <si>
    <t>Departamento de Protección Civil y Bomberos</t>
  </si>
  <si>
    <t>Departamento de Reglamentos y Licencias</t>
  </si>
  <si>
    <t>Departamento de Control Sanitario</t>
  </si>
  <si>
    <t>Departamento de Jueces Calificadores</t>
  </si>
  <si>
    <t>Departamento Jurídico</t>
  </si>
  <si>
    <t>Coordinación de Delegaciones y Comisarías</t>
  </si>
  <si>
    <t>Delegado Municipal de Pabellón de Hidalgo</t>
  </si>
  <si>
    <t>Delegado Municipal de Pablo Escaleras</t>
  </si>
  <si>
    <t>Delegado Municipal de San Jacinto</t>
  </si>
  <si>
    <t>Comisarios Municipales</t>
  </si>
  <si>
    <t>Tesorería Municipal</t>
  </si>
  <si>
    <t>Dirección de Adminitración</t>
  </si>
  <si>
    <t>Dirección de Planeación y Desarrollo Urbano</t>
  </si>
  <si>
    <t>Dirección de Ecología</t>
  </si>
  <si>
    <t>Coordinador de Planeación y Seguimiento de Programas</t>
  </si>
  <si>
    <t>Dirección de Obras Públicas</t>
  </si>
  <si>
    <t>Dirección de Fomento Deportivo y Acción Cívica</t>
  </si>
  <si>
    <t>Departamento de Fomento y Espacios Deportivos</t>
  </si>
  <si>
    <t>Departamento de Actividades Deportivas y Recreativas</t>
  </si>
  <si>
    <t>Dirección de Desarrollo Económico y Agropecuario</t>
  </si>
  <si>
    <t>Coordinador de Desarrollo Económico y Turismo</t>
  </si>
  <si>
    <t>Departamento de Ferias Regionales y Turismo</t>
  </si>
  <si>
    <t>Dirección de Servicios Públicos Municipales</t>
  </si>
  <si>
    <t>Departamento de Aseo Público</t>
  </si>
  <si>
    <t>Departamento de Alumbrado Público</t>
  </si>
  <si>
    <t>Departamento de Parques y Jardines</t>
  </si>
  <si>
    <t>Departamento de Panteones</t>
  </si>
  <si>
    <t>Departamento de Casa de Matanza</t>
  </si>
  <si>
    <t>Dirección de Seguridad Pública y Movilidad</t>
  </si>
  <si>
    <t>Dirección de Desarrollo Social y Concertación</t>
  </si>
  <si>
    <t>Departamento de Programas Sociales</t>
  </si>
  <si>
    <t>Departamento de Promoción y Concertación Social</t>
  </si>
  <si>
    <t>U.A.</t>
  </si>
  <si>
    <t>EJE</t>
  </si>
  <si>
    <t>Recursos Fiscales 2025</t>
  </si>
  <si>
    <t>Participaciones 2025</t>
  </si>
  <si>
    <t>Total proyecto</t>
  </si>
  <si>
    <t>proyección 2026 Recursos Fiscales</t>
  </si>
  <si>
    <t>Participaciones</t>
  </si>
  <si>
    <t>FORTAMUN</t>
  </si>
  <si>
    <t>RESARCITORIO</t>
  </si>
  <si>
    <t>FISMUN</t>
  </si>
  <si>
    <t>NOTAS</t>
  </si>
  <si>
    <t>Nombre del Proyecto</t>
  </si>
  <si>
    <t>1 vehículo</t>
  </si>
  <si>
    <t>EJES</t>
  </si>
  <si>
    <t>RINCÓN SEGURO Y CORDIAL</t>
  </si>
  <si>
    <t>RINCÓN RESPONSABLE Y CULTO</t>
  </si>
  <si>
    <t>RINCÓN SANO Y FELIZ</t>
  </si>
  <si>
    <t>RINCÓN VERDE Y SOSTENIBLE</t>
  </si>
  <si>
    <t>RINCÓN INTELIGENTE Y CAPAZ</t>
  </si>
  <si>
    <t>Notas</t>
  </si>
  <si>
    <t>TOTAL</t>
  </si>
  <si>
    <t>Presupuesto Anual  Para El Ejercicio Fiscal 2026 de Recursos Fiscales</t>
  </si>
  <si>
    <t>Etapa 3 Presupuestación:</t>
  </si>
  <si>
    <t>FIRMA Y NOMBRE DEL DIRECTOR</t>
  </si>
  <si>
    <t xml:space="preserve">Numero de poblacion a beneficiar </t>
  </si>
  <si>
    <t>Verificación de Fraccionamientos y Condominios, (vivienda para el bienestar, proyecto IVSOP, condominios, Rincón Real, I, II y III, Villas de la Plata, La Arbolada, Allegro Residencial), así como los proyectos de inversión como es la Fábrica de productos lácteos de Pabellón de Hidalgo, el nuevo hospital del ISSSTE, el nuevo centro CECI del IMSS, proyecto de procesamiento de Basura y Residuos Solidos Urbanos, Nueva Universidad Rosario Castellanos, entre otros muchos más.</t>
  </si>
  <si>
    <t>La revisión y análisis en campo de los diferentes trámites administrativos propios de la Dirección (Constancia Municipal de Compatibilidad urbanística, Licencia de Construcción, Subdivisión y fusión de predios, constancia de numero oficial por mencionar algunos traites) que son la base de ingreso de esta área, el cual se superó lo  proyectado para este actual ejercicio 2025.</t>
  </si>
  <si>
    <t>LIC. EN URB. JESÚS BERNARDO DÍAZ DE LEÓN GUTIERREZ</t>
  </si>
  <si>
    <t>Etapa 1 Planeación: (Proyecto)</t>
  </si>
  <si>
    <t>Etapa 2 Programación: (alcance)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</si>
</sst>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1" x14ac:knownFonts="1">
    <font>
      <sz val="11"/>
      <color theme="1"/>
      <name val="Aptos Narrow"/>
      <family val="2"/>
      <scheme val="minor"/>
    </font>
    <font>
      <sz val="9"/>
      <color indexed="8"/>
      <name val="Arial"/>
      <family val="2"/>
    </font>
    <font>
      <sz val="8"/>
      <color indexed="9"/>
      <name val="Tahoma"/>
      <family val="2"/>
    </font>
    <font>
      <sz val="12"/>
      <color indexed="8"/>
      <name val="Arial"/>
      <family val="2"/>
    </font>
    <font>
      <sz val="12"/>
      <color indexed="8"/>
      <name val="Aptos Narrow"/>
      <family val="2"/>
    </font>
    <font>
      <sz val="10"/>
      <color indexed="8"/>
      <name val="Arial"/>
      <family val="2"/>
    </font>
    <font>
      <sz val="8"/>
      <color indexed="8"/>
      <name val="Arial"/>
      <family val="2"/>
    </font>
    <font>
      <b/>
      <sz val="11"/>
      <color indexed="8"/>
      <name val="Aptos Narrow"/>
      <family val="2"/>
    </font>
    <font>
      <sz val="8"/>
      <color indexed="8"/>
      <name val="Arial"/>
      <family val="2"/>
    </font>
    <font>
      <sz val="8"/>
      <color indexed="9"/>
      <name val="Tahoma"/>
      <family val="2"/>
    </font>
    <font>
      <sz val="11"/>
      <color theme="1"/>
      <name val="Aptos Narrow"/>
      <family val="2"/>
      <scheme val="minor"/>
    </font>
    <font>
      <sz val="11"/>
      <color theme="0"/>
      <name val="Aptos Narrow"/>
      <family val="2"/>
      <scheme val="minor"/>
    </font>
    <font>
      <sz val="11"/>
      <color indexed="8"/>
      <name val="Aptos Narrow"/>
      <family val="2"/>
    </font>
    <font>
      <sz val="9"/>
      <color indexed="8"/>
      <name val="Arial"/>
      <family val="2"/>
    </font>
    <font>
      <b/>
      <sz val="11"/>
      <color theme="1"/>
      <name val="Aptos Narrow"/>
      <family val="2"/>
      <scheme val="minor"/>
    </font>
    <font>
      <sz val="16"/>
      <color theme="1"/>
      <name val="Aptos Narrow"/>
      <family val="2"/>
      <scheme val="minor"/>
    </font>
    <font>
      <sz val="20"/>
      <color theme="1"/>
      <name val="Aptos Narrow"/>
      <family val="2"/>
      <scheme val="minor"/>
    </font>
    <font>
      <sz val="18"/>
      <color theme="1"/>
      <name val="Aptos Narrow"/>
      <family val="2"/>
      <scheme val="minor"/>
    </font>
    <font>
      <b/>
      <sz val="18"/>
      <color theme="1"/>
      <name val="Aptos Narrow"/>
      <scheme val="minor"/>
    </font>
    <font>
      <b/>
      <sz val="16"/>
      <color theme="1"/>
      <name val="Aptos Narrow"/>
      <scheme val="minor"/>
    </font>
    <font>
      <b/>
      <sz val="11"/>
      <color theme="1"/>
      <name val="Aptos Narrow"/>
      <scheme val="minor"/>
    </font>
  </fonts>
  <fills count="6">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FF0000"/>
        <bgColor indexed="64"/>
      </patternFill>
    </fill>
  </fills>
  <borders count="21">
    <border>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0" fillId="0" borderId="0" applyFont="0" applyFill="0" applyBorder="0" applyAlignment="0" applyProtection="0"/>
  </cellStyleXfs>
  <cellXfs count="7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6"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0" fillId="2" borderId="0" xfId="0" applyFill="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left" vertical="top" wrapText="1"/>
    </xf>
    <xf numFmtId="0" fontId="5" fillId="0" borderId="0" xfId="0" applyFont="1" applyAlignment="1">
      <alignment vertical="top" wrapText="1"/>
    </xf>
    <xf numFmtId="0" fontId="0" fillId="0" borderId="0" xfId="0" applyAlignment="1">
      <alignment horizontal="center"/>
    </xf>
    <xf numFmtId="0" fontId="7" fillId="0" borderId="3" xfId="0" applyFont="1" applyBorder="1"/>
    <xf numFmtId="0" fontId="0" fillId="0" borderId="0" xfId="0" quotePrefix="1"/>
    <xf numFmtId="43" fontId="0" fillId="0" borderId="0" xfId="1" applyFont="1"/>
    <xf numFmtId="43" fontId="12" fillId="0" borderId="0" xfId="1" applyFont="1"/>
    <xf numFmtId="43" fontId="0" fillId="0" borderId="0" xfId="0" applyNumberFormat="1"/>
    <xf numFmtId="43" fontId="12" fillId="0" borderId="0" xfId="1" applyFont="1" applyBorder="1"/>
    <xf numFmtId="43" fontId="0" fillId="0" borderId="0" xfId="1" applyFont="1" applyBorder="1"/>
    <xf numFmtId="0" fontId="11" fillId="0" borderId="0" xfId="0" applyFont="1"/>
    <xf numFmtId="0" fontId="11" fillId="0" borderId="0" xfId="0" quotePrefix="1" applyFont="1"/>
    <xf numFmtId="0" fontId="0" fillId="0" borderId="0" xfId="0" applyAlignment="1">
      <alignment wrapText="1"/>
    </xf>
    <xf numFmtId="0" fontId="0" fillId="0" borderId="0" xfId="0" applyAlignment="1">
      <alignment horizontal="center" wrapText="1"/>
    </xf>
    <xf numFmtId="43" fontId="0" fillId="0" borderId="0" xfId="1" applyFont="1" applyAlignment="1">
      <alignment horizontal="center" wrapText="1"/>
    </xf>
    <xf numFmtId="0" fontId="14" fillId="0" borderId="0" xfId="0" applyFont="1"/>
    <xf numFmtId="0" fontId="0" fillId="0" borderId="13" xfId="0" applyBorder="1"/>
    <xf numFmtId="0" fontId="0" fillId="0" borderId="14" xfId="0" applyBorder="1"/>
    <xf numFmtId="0" fontId="0" fillId="4" borderId="13" xfId="0" applyFill="1" applyBorder="1"/>
    <xf numFmtId="0" fontId="1" fillId="3" borderId="0" xfId="0" applyFont="1" applyFill="1" applyAlignment="1">
      <alignment vertical="top" wrapText="1"/>
    </xf>
    <xf numFmtId="0" fontId="1" fillId="5" borderId="0" xfId="0" applyFont="1" applyFill="1" applyAlignment="1">
      <alignment vertical="top" wrapText="1"/>
    </xf>
    <xf numFmtId="0" fontId="13" fillId="3" borderId="0" xfId="0" applyFont="1" applyFill="1" applyAlignment="1">
      <alignment vertical="top" wrapText="1"/>
    </xf>
    <xf numFmtId="0" fontId="0" fillId="3" borderId="0" xfId="0" applyFill="1"/>
    <xf numFmtId="0" fontId="15" fillId="0" borderId="0" xfId="0" applyFont="1" applyAlignment="1">
      <alignment horizontal="center"/>
    </xf>
    <xf numFmtId="0" fontId="17" fillId="0" borderId="18" xfId="0" applyFont="1" applyBorder="1"/>
    <xf numFmtId="0" fontId="17" fillId="0" borderId="19" xfId="0" applyFont="1" applyBorder="1"/>
    <xf numFmtId="0" fontId="17" fillId="0" borderId="20" xfId="0" applyFont="1" applyBorder="1"/>
    <xf numFmtId="43" fontId="19" fillId="0" borderId="3" xfId="1" applyFont="1" applyBorder="1" applyAlignment="1">
      <alignment horizontal="center" shrinkToFit="1"/>
    </xf>
    <xf numFmtId="43" fontId="20" fillId="0" borderId="0" xfId="1" applyFont="1" applyAlignment="1">
      <alignment horizontal="center" wrapText="1"/>
    </xf>
    <xf numFmtId="0" fontId="15" fillId="0" borderId="18" xfId="0" applyFont="1" applyBorder="1" applyAlignment="1">
      <alignment horizontal="center"/>
    </xf>
    <xf numFmtId="0" fontId="15" fillId="0" borderId="19" xfId="0" applyFont="1" applyBorder="1" applyAlignment="1">
      <alignment horizontal="center"/>
    </xf>
    <xf numFmtId="0" fontId="14" fillId="0" borderId="0" xfId="0" applyFont="1" applyAlignment="1">
      <alignment horizont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43" fontId="0" fillId="0" borderId="1" xfId="1" applyFont="1" applyBorder="1" applyAlignment="1">
      <alignment horizontal="center" vertical="center" wrapText="1"/>
    </xf>
    <xf numFmtId="43" fontId="0" fillId="0" borderId="2" xfId="1" applyFont="1" applyBorder="1" applyAlignment="1">
      <alignment horizontal="center" vertical="center" wrapText="1"/>
    </xf>
    <xf numFmtId="0" fontId="14" fillId="0" borderId="0" xfId="0" applyFont="1" applyAlignment="1">
      <alignment horizontal="center"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7" xfId="0" applyFont="1" applyBorder="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3" fontId="18" fillId="0" borderId="18" xfId="0" applyNumberFormat="1" applyFont="1" applyBorder="1" applyAlignment="1">
      <alignment horizontal="center"/>
    </xf>
    <xf numFmtId="3" fontId="18" fillId="0" borderId="20" xfId="0" applyNumberFormat="1" applyFont="1" applyBorder="1" applyAlignment="1">
      <alignment horizontal="center"/>
    </xf>
    <xf numFmtId="0" fontId="0" fillId="0" borderId="0" xfId="0" applyAlignment="1">
      <alignment horizontal="center"/>
    </xf>
    <xf numFmtId="0" fontId="0" fillId="0" borderId="6" xfId="0" applyBorder="1" applyAlignment="1">
      <alignment horizontal="center"/>
    </xf>
    <xf numFmtId="0" fontId="16" fillId="0" borderId="0" xfId="0" applyFont="1" applyAlignment="1">
      <alignment horizontal="center"/>
    </xf>
    <xf numFmtId="0" fontId="7" fillId="0" borderId="3" xfId="0" applyFont="1" applyBorder="1" applyAlignment="1">
      <alignment horizontal="center" vertical="center"/>
    </xf>
    <xf numFmtId="43" fontId="7" fillId="0" borderId="3" xfId="1" applyFont="1" applyBorder="1" applyAlignment="1">
      <alignment horizontal="center" vertical="center" wrapText="1"/>
    </xf>
    <xf numFmtId="0" fontId="7" fillId="0" borderId="3" xfId="0" applyFont="1" applyBorder="1" applyAlignment="1">
      <alignment horizontal="center"/>
    </xf>
    <xf numFmtId="0" fontId="0" fillId="0" borderId="3" xfId="0" applyBorder="1" applyAlignment="1">
      <alignment horizontal="center"/>
    </xf>
    <xf numFmtId="43" fontId="7" fillId="0" borderId="4" xfId="1" applyFont="1" applyBorder="1" applyAlignment="1">
      <alignment horizontal="center" wrapText="1"/>
    </xf>
    <xf numFmtId="43" fontId="7" fillId="0" borderId="5" xfId="1" applyFont="1" applyBorder="1" applyAlignment="1">
      <alignment horizontal="center" wrapText="1"/>
    </xf>
    <xf numFmtId="43" fontId="7" fillId="0" borderId="4" xfId="1" applyFont="1" applyBorder="1" applyAlignment="1">
      <alignment horizontal="center" vertical="center" wrapText="1"/>
    </xf>
    <xf numFmtId="43" fontId="7" fillId="0" borderId="5" xfId="1" applyFont="1" applyBorder="1" applyAlignment="1">
      <alignment horizontal="center" vertical="center" wrapText="1"/>
    </xf>
  </cellXfs>
  <cellStyles count="2">
    <cellStyle name="Millares" xfId="1" builtinId="3"/>
    <cellStyle name="Normal" xfId="0" builtinId="0"/>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85.243\finanzas\finanzas\2026\Presupuesto%20Egresos%202026\PRESUPUESTACION%20DE%20EGRESOS\MACHOTE_INGRESOS%20PROPI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UESTO"/>
      <sheetName val="U.A"/>
      <sheetName val="F.F"/>
      <sheetName val="COG"/>
      <sheetName val="PROYECTO"/>
      <sheetName val="EJES"/>
      <sheetName val="CONDICIONES"/>
    </sheetNames>
    <sheetDataSet>
      <sheetData sheetId="0" refreshError="1"/>
      <sheetData sheetId="1" refreshError="1">
        <row r="3">
          <cell r="B3" t="str">
            <v>A001</v>
          </cell>
          <cell r="C3" t="str">
            <v>H Cabildo</v>
          </cell>
        </row>
        <row r="4">
          <cell r="B4" t="str">
            <v>B001</v>
          </cell>
          <cell r="C4" t="str">
            <v>Coordinación de Gestión Social</v>
          </cell>
        </row>
        <row r="5">
          <cell r="B5" t="str">
            <v>B002</v>
          </cell>
          <cell r="C5" t="str">
            <v>Coordinación de Gestión y Proyectos Estrategicos</v>
          </cell>
        </row>
        <row r="6">
          <cell r="B6" t="str">
            <v>C001</v>
          </cell>
          <cell r="C6" t="str">
            <v>Dirección del Sistema para el Desarrollo Integral de la Familia</v>
          </cell>
        </row>
        <row r="7">
          <cell r="B7" t="str">
            <v>C002</v>
          </cell>
          <cell r="C7" t="str">
            <v>Coordinador de la Estancia Infantil (CENDI- DIF)</v>
          </cell>
        </row>
        <row r="8">
          <cell r="B8" t="str">
            <v>D001</v>
          </cell>
          <cell r="C8" t="str">
            <v>Órgano Interno de Control</v>
          </cell>
        </row>
        <row r="9">
          <cell r="B9" t="str">
            <v>D002</v>
          </cell>
          <cell r="C9" t="str">
            <v>Departamento de Transparencia</v>
          </cell>
        </row>
        <row r="10">
          <cell r="B10" t="str">
            <v>D003</v>
          </cell>
          <cell r="C10" t="str">
            <v>Autoridad Investigadora</v>
          </cell>
        </row>
        <row r="11">
          <cell r="B11" t="str">
            <v>D004</v>
          </cell>
          <cell r="C11" t="str">
            <v>Autoridad Substanciadora y Resolutora</v>
          </cell>
        </row>
        <row r="12">
          <cell r="B12" t="str">
            <v>E001</v>
          </cell>
          <cell r="C12" t="str">
            <v>Secretaría del H. Ayuntamiento y Dirección General de Gobierno</v>
          </cell>
        </row>
        <row r="13">
          <cell r="B13" t="str">
            <v>E002</v>
          </cell>
          <cell r="C13" t="str">
            <v>Departamento de Archivo General</v>
          </cell>
        </row>
        <row r="14">
          <cell r="B14" t="str">
            <v>E003</v>
          </cell>
          <cell r="C14" t="str">
            <v>Departamento de Protección Civil y Bomberos</v>
          </cell>
        </row>
        <row r="15">
          <cell r="B15" t="str">
            <v>E004</v>
          </cell>
          <cell r="C15" t="str">
            <v>Departamento de Reglamentos y Licencias</v>
          </cell>
        </row>
        <row r="16">
          <cell r="B16" t="str">
            <v>E005</v>
          </cell>
          <cell r="C16" t="str">
            <v>Departamento de Control Sanitario</v>
          </cell>
        </row>
        <row r="17">
          <cell r="B17" t="str">
            <v>E006</v>
          </cell>
          <cell r="C17" t="str">
            <v>Departamento de Jueces Calificadores</v>
          </cell>
        </row>
        <row r="18">
          <cell r="B18" t="str">
            <v>E007</v>
          </cell>
          <cell r="C18" t="str">
            <v>Departamento Jurídico</v>
          </cell>
        </row>
        <row r="19">
          <cell r="B19" t="str">
            <v>E008</v>
          </cell>
          <cell r="C19" t="str">
            <v>Coordinación de Delegaciones y Comisarías</v>
          </cell>
        </row>
        <row r="20">
          <cell r="B20" t="str">
            <v>E009</v>
          </cell>
          <cell r="C20" t="str">
            <v>Delegado Municipal de Pabellón de Hidalgo</v>
          </cell>
        </row>
        <row r="21">
          <cell r="B21" t="str">
            <v>E010</v>
          </cell>
          <cell r="C21" t="str">
            <v>Delegado Municipal de Pablo Escaleras</v>
          </cell>
        </row>
        <row r="22">
          <cell r="B22" t="str">
            <v>E011</v>
          </cell>
          <cell r="C22" t="str">
            <v>Delegado Municipal de San Jacinto</v>
          </cell>
        </row>
        <row r="23">
          <cell r="B23" t="str">
            <v>E012</v>
          </cell>
          <cell r="C23" t="str">
            <v>Comisarios Municipales</v>
          </cell>
        </row>
        <row r="24">
          <cell r="B24" t="str">
            <v>F001</v>
          </cell>
          <cell r="C24" t="str">
            <v>Tesorería Municipal</v>
          </cell>
        </row>
        <row r="25">
          <cell r="B25" t="str">
            <v>G001</v>
          </cell>
          <cell r="C25" t="str">
            <v>Dirección de Adminitración</v>
          </cell>
        </row>
        <row r="26">
          <cell r="B26" t="str">
            <v>H001</v>
          </cell>
          <cell r="C26" t="str">
            <v>Dirección de Planeación y Desarrollo Urbano</v>
          </cell>
        </row>
        <row r="27">
          <cell r="B27" t="str">
            <v>H002</v>
          </cell>
          <cell r="C27" t="str">
            <v>Mejora Regulatoria</v>
          </cell>
        </row>
        <row r="28">
          <cell r="B28" t="str">
            <v>H003</v>
          </cell>
          <cell r="C28" t="str">
            <v>Coordinador de Planeación y Seguimiento de Programas</v>
          </cell>
        </row>
        <row r="29">
          <cell r="B29" t="str">
            <v>I001</v>
          </cell>
          <cell r="C29" t="str">
            <v>Dirección de Obras Públicas</v>
          </cell>
        </row>
        <row r="30">
          <cell r="B30" t="str">
            <v>J001</v>
          </cell>
          <cell r="C30" t="str">
            <v>Dirección de Fomento Deportivo y Acción Cívica</v>
          </cell>
        </row>
        <row r="31">
          <cell r="B31" t="str">
            <v>J002</v>
          </cell>
          <cell r="C31" t="str">
            <v>Departamento de Fomento y Espacios Deportivos</v>
          </cell>
        </row>
        <row r="32">
          <cell r="B32" t="str">
            <v>J003</v>
          </cell>
          <cell r="C32" t="str">
            <v>Departamento de Actividades Deportivas y Recreativas</v>
          </cell>
        </row>
        <row r="33">
          <cell r="B33" t="str">
            <v>K001</v>
          </cell>
          <cell r="C33" t="str">
            <v>Dirección de Desarrollo Económico y Agropecuario</v>
          </cell>
        </row>
        <row r="34">
          <cell r="B34" t="str">
            <v>K002</v>
          </cell>
          <cell r="C34" t="str">
            <v>Coordinador de Desarrollo Económico y Turismo</v>
          </cell>
        </row>
        <row r="35">
          <cell r="B35" t="str">
            <v>K003</v>
          </cell>
          <cell r="C35" t="str">
            <v>Departamento de Ferias Regionales y Turismo</v>
          </cell>
        </row>
        <row r="36">
          <cell r="B36" t="str">
            <v>K004</v>
          </cell>
          <cell r="C36" t="str">
            <v>Cultura</v>
          </cell>
        </row>
        <row r="37">
          <cell r="B37" t="str">
            <v>L001</v>
          </cell>
          <cell r="C37" t="str">
            <v>Dirección de Servicios Públicos Municipales</v>
          </cell>
        </row>
        <row r="38">
          <cell r="B38" t="str">
            <v>L002</v>
          </cell>
          <cell r="C38" t="str">
            <v>Departamento de Aseo Público</v>
          </cell>
        </row>
        <row r="39">
          <cell r="B39" t="str">
            <v>L003</v>
          </cell>
          <cell r="C39" t="str">
            <v>Departamento de Alumbrado Público</v>
          </cell>
        </row>
        <row r="40">
          <cell r="B40" t="str">
            <v>L004</v>
          </cell>
          <cell r="C40" t="str">
            <v>Departamento de Parques y Jardines</v>
          </cell>
        </row>
        <row r="41">
          <cell r="B41" t="str">
            <v>L005</v>
          </cell>
          <cell r="C41" t="str">
            <v>Departamento de Panteones</v>
          </cell>
        </row>
        <row r="42">
          <cell r="B42" t="str">
            <v>L006</v>
          </cell>
          <cell r="C42" t="str">
            <v>Departamento de Casa de Matanza</v>
          </cell>
        </row>
        <row r="43">
          <cell r="B43" t="str">
            <v>M001</v>
          </cell>
          <cell r="C43" t="str">
            <v>Dirección de Seguridad Pública y Movilidad</v>
          </cell>
        </row>
        <row r="44">
          <cell r="B44" t="str">
            <v>N001</v>
          </cell>
          <cell r="C44" t="str">
            <v>Dirección de Desarrollo Social y Concertación</v>
          </cell>
        </row>
        <row r="45">
          <cell r="B45" t="str">
            <v>N002</v>
          </cell>
          <cell r="C45" t="str">
            <v>Departamento de Programas Sociales</v>
          </cell>
        </row>
        <row r="46">
          <cell r="B46" t="str">
            <v>N003</v>
          </cell>
          <cell r="C46" t="str">
            <v>Departamento de Promoción y Concertación Social</v>
          </cell>
        </row>
        <row r="47">
          <cell r="B47" t="str">
            <v>O001</v>
          </cell>
          <cell r="C47" t="str">
            <v>Dirección de Ecología</v>
          </cell>
        </row>
        <row r="48">
          <cell r="B48" t="str">
            <v>P001</v>
          </cell>
          <cell r="C48" t="str">
            <v>Dirección de la Instancia de la Juventud</v>
          </cell>
        </row>
        <row r="49">
          <cell r="B49" t="str">
            <v>Q001</v>
          </cell>
          <cell r="C49" t="str">
            <v>Dirección de la Instancia de la Mujer</v>
          </cell>
        </row>
        <row r="50">
          <cell r="B50" t="str">
            <v>R001</v>
          </cell>
          <cell r="C50" t="str">
            <v>Dirección  de Comunicación Social y Relaciones Públicas</v>
          </cell>
        </row>
      </sheetData>
      <sheetData sheetId="2" refreshError="1">
        <row r="3">
          <cell r="B3">
            <v>1101</v>
          </cell>
          <cell r="C3" t="str">
            <v>Recursos Fiscales 2026</v>
          </cell>
        </row>
        <row r="4">
          <cell r="B4">
            <v>1501</v>
          </cell>
          <cell r="C4" t="str">
            <v>Participaciones Federales 2026</v>
          </cell>
        </row>
        <row r="5">
          <cell r="B5">
            <v>1701</v>
          </cell>
          <cell r="C5" t="str">
            <v>Fondo Resarcitorio 2026</v>
          </cell>
        </row>
        <row r="6">
          <cell r="B6">
            <v>2501</v>
          </cell>
          <cell r="C6" t="str">
            <v>Fondo de Aportaciones para el Fortalecimiento de los Municipios 2026</v>
          </cell>
        </row>
        <row r="7">
          <cell r="B7">
            <v>2502</v>
          </cell>
          <cell r="C7" t="str">
            <v>Fondo de Aportaciones para la Infraestructura Social Municipal 2026</v>
          </cell>
        </row>
      </sheetData>
      <sheetData sheetId="3" refreshError="1">
        <row r="3">
          <cell r="B3">
            <v>21101</v>
          </cell>
          <cell r="C3" t="str">
            <v>MATERIALES, ÚTILES Y EQUIPOS MENORES DE OFICINA</v>
          </cell>
        </row>
        <row r="4">
          <cell r="B4">
            <v>21102</v>
          </cell>
          <cell r="C4" t="str">
            <v>BIENES MUEBLES MENORES DE OFICINA</v>
          </cell>
        </row>
        <row r="5">
          <cell r="B5">
            <v>21201</v>
          </cell>
          <cell r="C5" t="str">
            <v>MATERIALES Y ÚTILES DE IMPRESIÓN Y REPRODUCCIÓN</v>
          </cell>
        </row>
        <row r="6">
          <cell r="B6">
            <v>21202</v>
          </cell>
          <cell r="C6" t="str">
            <v>BIENES MUEBLES MENORES DE IMPRESIÓN Y REPRODUCCIÓN</v>
          </cell>
        </row>
        <row r="7">
          <cell r="B7">
            <v>21301</v>
          </cell>
          <cell r="C7" t="str">
            <v>MATERIAL ESTADÍSTICO Y GEOGRÁFICO</v>
          </cell>
        </row>
        <row r="8">
          <cell r="B8">
            <v>21302</v>
          </cell>
          <cell r="C8" t="str">
            <v>BIENES MUEBLES MENORES DE ESTADÍSTICA Y GEOGRAFÍA</v>
          </cell>
        </row>
        <row r="9">
          <cell r="B9">
            <v>21401</v>
          </cell>
          <cell r="C9" t="str">
            <v>MATERIALES, ÚTILES Y EQUIPOS MENORES DE TECNOLOGÍAS DE LA INFORMACIÓN Y COMUNICACIONES</v>
          </cell>
        </row>
        <row r="10">
          <cell r="B10">
            <v>21402</v>
          </cell>
          <cell r="C10" t="str">
            <v>BIENES MENORES DE TECNOLOGÍAS DE LA INFORMACIÓN Y COMUNICACIONES</v>
          </cell>
        </row>
        <row r="11">
          <cell r="B11">
            <v>21501</v>
          </cell>
          <cell r="C11" t="str">
            <v>MATERIAL IMPRESO E INFORMACIÓN DIGITAL</v>
          </cell>
        </row>
        <row r="12">
          <cell r="B12">
            <v>21601</v>
          </cell>
          <cell r="C12" t="str">
            <v>MATERIAL DE LIMPIEZA</v>
          </cell>
        </row>
        <row r="13">
          <cell r="B13">
            <v>21701</v>
          </cell>
          <cell r="C13" t="str">
            <v>MATERIALES Y ÚTILES DE ENSEÑANZA</v>
          </cell>
        </row>
        <row r="14">
          <cell r="B14">
            <v>21801</v>
          </cell>
          <cell r="C14" t="str">
            <v>MATERIALES PARA EL REGISTRO E IDENTIFICACIÓN DE BIENES Y PERSONAS</v>
          </cell>
        </row>
        <row r="15">
          <cell r="B15">
            <v>22101</v>
          </cell>
          <cell r="C15" t="str">
            <v>PRODUCTOS ALIMENTICIOS PARA PERSONAS</v>
          </cell>
        </row>
        <row r="16">
          <cell r="B16">
            <v>22102</v>
          </cell>
          <cell r="C16" t="str">
            <v>ALIMENTOS EN OFICINAS Y LUGARES DE TRABAJO</v>
          </cell>
        </row>
        <row r="17">
          <cell r="B17">
            <v>22103</v>
          </cell>
          <cell r="C17" t="str">
            <v>ALIMENTOS EN EVENTOS OFICIALES</v>
          </cell>
        </row>
        <row r="18">
          <cell r="B18">
            <v>22105</v>
          </cell>
          <cell r="C18" t="str">
            <v>ALIMENTACIÓN PARA INTERNOS</v>
          </cell>
        </row>
        <row r="19">
          <cell r="B19">
            <v>22201</v>
          </cell>
          <cell r="C19" t="str">
            <v>PRODUCTOS ALIMENTICIOS PARA ANIMALES</v>
          </cell>
        </row>
        <row r="20">
          <cell r="B20">
            <v>22301</v>
          </cell>
          <cell r="C20" t="str">
            <v>UTENSILIOS PARA EL SERVICIO DE ALIMENTACIÓN</v>
          </cell>
        </row>
        <row r="21">
          <cell r="B21">
            <v>23101</v>
          </cell>
          <cell r="C21" t="str">
            <v>PRODUCTOS ALIMENTICIOS, AGROPECUARIOS Y FORESTALES ADQUIRIDOS COMO MATERIA PRIMA</v>
          </cell>
        </row>
        <row r="22">
          <cell r="B22">
            <v>23201</v>
          </cell>
          <cell r="C22" t="str">
            <v>INSUMOS TEXTILES ADQUIRIDOS COMO MATERIA PRIMA</v>
          </cell>
        </row>
        <row r="23">
          <cell r="B23">
            <v>23301</v>
          </cell>
          <cell r="C23" t="str">
            <v>PRODUCTOS DE PAPEL, CARTÓN E IMPRESOS ADQUIRIDOS COMO MATERIA PRIMA</v>
          </cell>
        </row>
        <row r="24">
          <cell r="B24">
            <v>23401</v>
          </cell>
          <cell r="C24" t="str">
            <v>COMBUSTIBLES, LUBRICANTES, ADITIVOS, CARBÓN Y SUS DERIVADOS ADQUIRIDOS COMO MATERIA PRIMA</v>
          </cell>
        </row>
        <row r="25">
          <cell r="B25">
            <v>23501</v>
          </cell>
          <cell r="C25" t="str">
            <v>PRODUCTOS QUÍMICOS, FARMACÉUTICOS Y DE LABORATORIO ADQUIRIDOS COMO MATERIA PRIMA</v>
          </cell>
        </row>
        <row r="26">
          <cell r="B26">
            <v>23601</v>
          </cell>
          <cell r="C26" t="str">
            <v>PRODUCTOS METÁLICOS Y A BASE DE MINERALES NO METÁLICOS ADQUIRIDOS COMO MATERIA PRIMA</v>
          </cell>
        </row>
        <row r="27">
          <cell r="B27">
            <v>23701</v>
          </cell>
          <cell r="C27" t="str">
            <v>PRODUCTOS DE CUERO, PIEL, PLÁSTICO Y HULE ADQUIRIDOS COMO MATERIA PRIMA</v>
          </cell>
        </row>
        <row r="28">
          <cell r="B28">
            <v>23801</v>
          </cell>
          <cell r="C28" t="str">
            <v>MERCANCÍAS ADQUIRIDAS PARA SU COMERCIALIZACIÓN</v>
          </cell>
        </row>
        <row r="29">
          <cell r="B29">
            <v>23901</v>
          </cell>
          <cell r="C29" t="str">
            <v>OTROS PRODUCTOS ADQUIRIDOS COMO MATERIA PRIMA</v>
          </cell>
        </row>
        <row r="30">
          <cell r="B30">
            <v>24101</v>
          </cell>
          <cell r="C30" t="str">
            <v>PRODUCTOS MINERALES NO METÁLICOS</v>
          </cell>
        </row>
        <row r="31">
          <cell r="B31">
            <v>24201</v>
          </cell>
          <cell r="C31" t="str">
            <v>CEMENTO Y PRODUCTOS DE CONCRETO</v>
          </cell>
        </row>
        <row r="32">
          <cell r="B32">
            <v>24301</v>
          </cell>
          <cell r="C32" t="str">
            <v>CAL, YESO Y PRODUCTOS DE YESO</v>
          </cell>
        </row>
        <row r="33">
          <cell r="B33">
            <v>24401</v>
          </cell>
          <cell r="C33" t="str">
            <v>MADERA Y PRODUCTOS DE MADERA</v>
          </cell>
        </row>
        <row r="34">
          <cell r="B34">
            <v>24501</v>
          </cell>
          <cell r="C34" t="str">
            <v>VIDRIO Y PRODUCTOS DE VIDRIO</v>
          </cell>
        </row>
        <row r="35">
          <cell r="B35">
            <v>24601</v>
          </cell>
          <cell r="C35" t="str">
            <v>MATERIAL ELÉCTRICO Y ELECTRÓNICO</v>
          </cell>
        </row>
        <row r="36">
          <cell r="B36">
            <v>24701</v>
          </cell>
          <cell r="C36" t="str">
            <v>ARTÍCULOS METÁLICOS PARA LA CONSTRUCCIÓN</v>
          </cell>
        </row>
        <row r="37">
          <cell r="B37">
            <v>24801</v>
          </cell>
          <cell r="C37" t="str">
            <v>MATERIALES COMPLEMENTARIOS</v>
          </cell>
        </row>
        <row r="38">
          <cell r="B38">
            <v>24802</v>
          </cell>
          <cell r="C38" t="str">
            <v>MATERIAL DE SEÑALIZACIÓN</v>
          </cell>
        </row>
        <row r="39">
          <cell r="B39">
            <v>24803</v>
          </cell>
          <cell r="C39" t="str">
            <v>ARBOLES Y PLANTAS DE ORNATO</v>
          </cell>
        </row>
        <row r="40">
          <cell r="B40">
            <v>24901</v>
          </cell>
          <cell r="C40" t="str">
            <v>OTROS MATERIALES Y ARTÍCULOS DE CONSTRUCCIÓN Y REPARACIÓN</v>
          </cell>
        </row>
        <row r="41">
          <cell r="B41">
            <v>25101</v>
          </cell>
          <cell r="C41" t="str">
            <v>PRODUCTOS QUÍMICOS BÁSICOS</v>
          </cell>
        </row>
        <row r="42">
          <cell r="B42">
            <v>25201</v>
          </cell>
          <cell r="C42" t="str">
            <v>FERTILIZANTES, PESTICIDAS Y OTROS AGROQUÍMICOS</v>
          </cell>
        </row>
        <row r="43">
          <cell r="B43">
            <v>25301</v>
          </cell>
          <cell r="C43" t="str">
            <v>MEDICINAS Y PRODUCTOS FARMACÉUTICOS</v>
          </cell>
        </row>
        <row r="44">
          <cell r="B44">
            <v>25401</v>
          </cell>
          <cell r="C44" t="str">
            <v>MATERIALES, ACCESORIOS Y SUMINISTROS MÉDICOS</v>
          </cell>
        </row>
        <row r="45">
          <cell r="B45">
            <v>25501</v>
          </cell>
          <cell r="C45" t="str">
            <v>MATERIALES, ACCESORIOS Y SUMINISTROS DE LABORATORIO</v>
          </cell>
        </row>
        <row r="46">
          <cell r="B46">
            <v>25601</v>
          </cell>
          <cell r="C46" t="str">
            <v>FIBRAS SINTÉTICAS, HULES, PLÁSTICOS Y DERIVADOS</v>
          </cell>
        </row>
        <row r="47">
          <cell r="B47">
            <v>25901</v>
          </cell>
          <cell r="C47" t="str">
            <v>OTROS PRODUCTOS QUÍMICOS</v>
          </cell>
        </row>
        <row r="48">
          <cell r="B48">
            <v>26101</v>
          </cell>
          <cell r="C48" t="str">
            <v>COMBUSTIBLES, LUBRICANTES Y ADITIVOS</v>
          </cell>
        </row>
        <row r="49">
          <cell r="B49">
            <v>26104</v>
          </cell>
          <cell r="C49" t="str">
            <v>GAS</v>
          </cell>
        </row>
        <row r="50">
          <cell r="B50">
            <v>26201</v>
          </cell>
          <cell r="C50" t="str">
            <v>CARBÓN Y SUS DERIVADOS</v>
          </cell>
        </row>
        <row r="51">
          <cell r="B51">
            <v>27101</v>
          </cell>
          <cell r="C51" t="str">
            <v>VESTUARIO Y UNIFORMES</v>
          </cell>
        </row>
        <row r="52">
          <cell r="B52">
            <v>27201</v>
          </cell>
          <cell r="C52" t="str">
            <v>PRENDAS DE SEGURIDAD Y PROTECCIÓN PERSONAL</v>
          </cell>
        </row>
        <row r="53">
          <cell r="B53">
            <v>27301</v>
          </cell>
          <cell r="C53" t="str">
            <v>ARTÍCULOS DEPORTIVOS</v>
          </cell>
        </row>
        <row r="54">
          <cell r="B54">
            <v>27401</v>
          </cell>
          <cell r="C54" t="str">
            <v>PRODUCTOS TEXTILES</v>
          </cell>
        </row>
        <row r="55">
          <cell r="B55">
            <v>27501</v>
          </cell>
          <cell r="C55" t="str">
            <v>BLANCOS Y OTROS PRODUCTOS TEXTILES, EXCEPTO PRENDAS DE VESTIR</v>
          </cell>
        </row>
        <row r="56">
          <cell r="B56">
            <v>28101</v>
          </cell>
          <cell r="C56" t="str">
            <v>SUSTANCIAS Y MATERIALES EXPLOSIVOS</v>
          </cell>
        </row>
        <row r="57">
          <cell r="B57">
            <v>28201</v>
          </cell>
          <cell r="C57" t="str">
            <v>MATERIALES DE SEGURIDAD PÚBLICA</v>
          </cell>
        </row>
        <row r="58">
          <cell r="B58">
            <v>28301</v>
          </cell>
          <cell r="C58" t="str">
            <v>PRENDAS DE PROTECCIÓN PARA SEGURIDAD PÚBLICA Y NACIONAL</v>
          </cell>
        </row>
        <row r="59">
          <cell r="B59">
            <v>29101</v>
          </cell>
          <cell r="C59" t="str">
            <v>HERRAMIENTAS MENORES</v>
          </cell>
        </row>
        <row r="60">
          <cell r="B60">
            <v>29201</v>
          </cell>
          <cell r="C60" t="str">
            <v>REFACCIONES Y ACCESORIOS MENORES DE EDIFICIOS</v>
          </cell>
        </row>
        <row r="61">
          <cell r="B61">
            <v>29301</v>
          </cell>
          <cell r="C61" t="str">
            <v>REFACCIONES Y ACCESORIOS MENORES DE MOBILIARIO Y EQUIPO DE ADMINISTRACIÓN, EDUCACIONAL Y RECREATIVO</v>
          </cell>
        </row>
        <row r="62">
          <cell r="B62">
            <v>29401</v>
          </cell>
          <cell r="C62" t="str">
            <v>REFACCIONES Y ACCESORIOS MENORES DE EQUIPO DE CÓMPUTO Y TECNOLOGÍAS DE LA INFORMACIÓN</v>
          </cell>
        </row>
        <row r="63">
          <cell r="B63">
            <v>29501</v>
          </cell>
          <cell r="C63" t="str">
            <v>REFACCIONES Y ACCESORIOS MENORES DE EQUIPO E INSTRUMENTAL MÉDICO Y DE LABORATORIO</v>
          </cell>
        </row>
        <row r="64">
          <cell r="B64">
            <v>29601</v>
          </cell>
          <cell r="C64" t="str">
            <v>REFACCIONES Y ACCESORIOS MENORES DE EQUIPO DE TRANSPORTE</v>
          </cell>
        </row>
        <row r="65">
          <cell r="B65">
            <v>29701</v>
          </cell>
          <cell r="C65" t="str">
            <v>REFACCIONES Y ACCESORIOS MENORES DE EQUIPO DE DEFENSA Y SEGURIDAD</v>
          </cell>
        </row>
        <row r="66">
          <cell r="B66">
            <v>29801</v>
          </cell>
          <cell r="C66" t="str">
            <v>REFACCIONES Y ACCESORIOS MENORES DE MAQUINARIA Y OTROS EQUIPOS</v>
          </cell>
        </row>
        <row r="67">
          <cell r="B67">
            <v>29901</v>
          </cell>
          <cell r="C67" t="str">
            <v>REFACCIONES Y ACCESORIOS MENORES OTROS BIENES MUEBLES</v>
          </cell>
        </row>
        <row r="68">
          <cell r="B68">
            <v>31101</v>
          </cell>
          <cell r="C68" t="str">
            <v>ENERGÍA ELÉCTRICA</v>
          </cell>
        </row>
        <row r="69">
          <cell r="B69">
            <v>31102</v>
          </cell>
          <cell r="C69" t="str">
            <v>SERVIO DE ENERGIA ELECTRICA PARA ALUMBRADO PUBLICO</v>
          </cell>
        </row>
        <row r="70">
          <cell r="B70">
            <v>31201</v>
          </cell>
          <cell r="C70" t="str">
            <v>GAS</v>
          </cell>
        </row>
        <row r="71">
          <cell r="B71">
            <v>31301</v>
          </cell>
          <cell r="C71" t="str">
            <v>AGUA</v>
          </cell>
        </row>
        <row r="72">
          <cell r="B72">
            <v>31401</v>
          </cell>
          <cell r="C72" t="str">
            <v>TELEFONÍA TRADICIONAL</v>
          </cell>
        </row>
        <row r="73">
          <cell r="B73">
            <v>31501</v>
          </cell>
          <cell r="C73" t="str">
            <v>SERVICIO DE TELEFONÍA CELULAR</v>
          </cell>
        </row>
        <row r="74">
          <cell r="B74">
            <v>31601</v>
          </cell>
          <cell r="C74" t="str">
            <v>SERVICIOS DE TELECOMUNICACIONES Y SATÉLITES</v>
          </cell>
        </row>
        <row r="75">
          <cell r="B75">
            <v>31701</v>
          </cell>
          <cell r="C75" t="str">
            <v>SERVICIOS DE ACCESO DE INTERNET, REDES Y PROCESAMIENTO DE INFORMACIÓN</v>
          </cell>
        </row>
        <row r="76">
          <cell r="B76">
            <v>31801</v>
          </cell>
          <cell r="C76" t="str">
            <v>SERVICIOS POSTALES Y TELEGRÁFICOS</v>
          </cell>
        </row>
        <row r="77">
          <cell r="B77">
            <v>31802</v>
          </cell>
          <cell r="C77" t="str">
            <v>SERVICIOS DE PAQUETERIA Y MENSAJERÍA</v>
          </cell>
        </row>
        <row r="78">
          <cell r="B78">
            <v>31901</v>
          </cell>
          <cell r="C78" t="str">
            <v>SERVICIOS INTEGRALES Y OTROS SERVICIOS</v>
          </cell>
        </row>
        <row r="79">
          <cell r="B79">
            <v>32101</v>
          </cell>
          <cell r="C79" t="str">
            <v>ARRENDAMIENTO DE TERRENOS</v>
          </cell>
        </row>
        <row r="80">
          <cell r="B80">
            <v>32201</v>
          </cell>
          <cell r="C80" t="str">
            <v>ARRENDAMIENTO DE EDIFICIOS</v>
          </cell>
        </row>
        <row r="81">
          <cell r="B81">
            <v>32301</v>
          </cell>
          <cell r="C81" t="str">
            <v>ARRENDAMIENTO DE MOBILIARIO Y EQUIPO DE ADMINISTRACIÓN, EDUCACIONAL Y RECREATIVO</v>
          </cell>
        </row>
        <row r="82">
          <cell r="B82">
            <v>32401</v>
          </cell>
          <cell r="C82" t="str">
            <v>ARRENDAMIENTO DE EQUIPO E INSTRUMENTAL MÉDICO Y DE LABORATORIO</v>
          </cell>
        </row>
        <row r="83">
          <cell r="B83">
            <v>32501</v>
          </cell>
          <cell r="C83" t="str">
            <v>ARRENDAMIENTO DE EQUIPO DE TRANSPORTE</v>
          </cell>
        </row>
        <row r="84">
          <cell r="B84">
            <v>32601</v>
          </cell>
          <cell r="C84" t="str">
            <v>ARRENDAMIENTO DE MAQUINARIA, OTROS EQUIPOS Y HERRAMIENTAS</v>
          </cell>
        </row>
        <row r="85">
          <cell r="B85">
            <v>32701</v>
          </cell>
          <cell r="C85" t="str">
            <v>ARRENDAMIENTO DE ACTIVOS INTANGIBLES</v>
          </cell>
        </row>
        <row r="86">
          <cell r="B86">
            <v>32801</v>
          </cell>
          <cell r="C86" t="str">
            <v>ARRENDAMIENTO FINANCIERO</v>
          </cell>
        </row>
        <row r="87">
          <cell r="B87">
            <v>32901</v>
          </cell>
          <cell r="C87" t="str">
            <v>OTROS ARRENDAMIENTOS</v>
          </cell>
        </row>
        <row r="88">
          <cell r="B88">
            <v>33101</v>
          </cell>
          <cell r="C88" t="str">
            <v>SERVICIOS LEGALES, DE CONTABILIDAD, AUDITORÍA Y RELACIONADOS</v>
          </cell>
        </row>
        <row r="89">
          <cell r="B89">
            <v>33201</v>
          </cell>
          <cell r="C89" t="str">
            <v>SERVICIOS DE DISEÑO, ARQUITECTURA, DE INGENIERÍA Y ACTIVIDADES RELACIONADAS</v>
          </cell>
        </row>
        <row r="90">
          <cell r="B90">
            <v>33301</v>
          </cell>
          <cell r="C90" t="str">
            <v>SERVICIOS DE CONSULTORÍA ADMINISTRATIVA, PROCESOS, TÉCNICA Y EN TECNOLOGÍAS DE LA INFORMACIÓN</v>
          </cell>
        </row>
        <row r="91">
          <cell r="B91">
            <v>33401</v>
          </cell>
          <cell r="C91" t="str">
            <v>SERVICIOS DE CAPACITACIÓN</v>
          </cell>
        </row>
        <row r="92">
          <cell r="B92">
            <v>33501</v>
          </cell>
          <cell r="C92" t="str">
            <v>SERVICIOS DE INVESTIGACIÓN CIENTÍFICA Y DESARROLLO</v>
          </cell>
        </row>
        <row r="93">
          <cell r="B93">
            <v>33601</v>
          </cell>
          <cell r="C93" t="str">
            <v>SERVICIOS DE APOYO ADMINISTRATIVO, TRADUCCIÓN, FOTOCOPIADO E IMPRESIÓN</v>
          </cell>
        </row>
        <row r="94">
          <cell r="B94">
            <v>33701</v>
          </cell>
          <cell r="C94" t="str">
            <v>SERVICIOS DE PROTECCIÓN Y SEGURIDAD</v>
          </cell>
        </row>
        <row r="95">
          <cell r="B95">
            <v>33801</v>
          </cell>
          <cell r="C95" t="str">
            <v>SERVICIO DE VIGILANCIA</v>
          </cell>
        </row>
        <row r="96">
          <cell r="B96">
            <v>33901</v>
          </cell>
          <cell r="C96" t="str">
            <v>SERVICIOS PROFESIONALES, CIENTÍFICOS Y TÉCNICOS INTEGRALES</v>
          </cell>
        </row>
        <row r="97">
          <cell r="B97">
            <v>34101</v>
          </cell>
          <cell r="C97" t="str">
            <v>SERVICIOS FINANCIEROS Y BANCARIOS</v>
          </cell>
        </row>
        <row r="98">
          <cell r="B98">
            <v>34201</v>
          </cell>
          <cell r="C98" t="str">
            <v>SERVICIOS DE COBRANZA, INVESTIGACIÓN CREDITICIA Y SIMILAR</v>
          </cell>
        </row>
        <row r="99">
          <cell r="B99">
            <v>34301</v>
          </cell>
          <cell r="C99" t="str">
            <v>SERVICIOS DE RECAUDACIÓN, TRASLADO Y CUSTODIA DE VALORES</v>
          </cell>
        </row>
        <row r="100">
          <cell r="B100">
            <v>34401</v>
          </cell>
          <cell r="C100" t="str">
            <v>SEGURO DE RESPONSABILIDAD PATRIMONIAL Y FIANZAS</v>
          </cell>
        </row>
        <row r="101">
          <cell r="B101">
            <v>34501</v>
          </cell>
          <cell r="C101" t="str">
            <v>SEGURO DE BIENES PATRIMONIALES</v>
          </cell>
        </row>
        <row r="102">
          <cell r="B102">
            <v>34601</v>
          </cell>
          <cell r="C102" t="str">
            <v>ALMACENAJE, ENVASE Y EMBALAJE</v>
          </cell>
        </row>
        <row r="103">
          <cell r="B103">
            <v>34701</v>
          </cell>
          <cell r="C103" t="str">
            <v>FLETES Y MANIOBRAS</v>
          </cell>
        </row>
        <row r="104">
          <cell r="B104">
            <v>34801</v>
          </cell>
          <cell r="C104" t="str">
            <v>COMISIONES POR VENTAS</v>
          </cell>
        </row>
        <row r="105">
          <cell r="B105">
            <v>34901</v>
          </cell>
          <cell r="C105" t="str">
            <v>SERVICIOS FINANCIEROS, BANCARIOS Y COMERCIALES INTEGRALES</v>
          </cell>
        </row>
        <row r="106">
          <cell r="B106">
            <v>35101</v>
          </cell>
          <cell r="C106" t="str">
            <v>CONSERVACIÓN Y MANTENIMIENTO MENOR DE INMUEBLES</v>
          </cell>
        </row>
        <row r="107">
          <cell r="B107">
            <v>35201</v>
          </cell>
          <cell r="C107" t="str">
            <v>INSTALACIÓN, REPARACIÓN Y MANTENIMIENTO DE MOBILIARIO Y EQUIPO DE ADMINISTRACIÓN, EDUCACIONAL Y RECREATIVO</v>
          </cell>
        </row>
        <row r="108">
          <cell r="B108">
            <v>35301</v>
          </cell>
          <cell r="C108" t="str">
            <v>INSTALACIÓN, REPARACIÓN Y MANTENIMIENTO DE EQUIPO DE CÓMPUTO Y TECNOLOGÍAS DE LA INFORMACIÓN</v>
          </cell>
        </row>
        <row r="109">
          <cell r="B109">
            <v>35401</v>
          </cell>
          <cell r="C109" t="str">
            <v>INSTALACIÓN, REPARACIÓN Y MANTENIMIENTO DE EQUIPO E INSTRUMENTAL MÉDICO Y DE LABORATORIO</v>
          </cell>
        </row>
        <row r="110">
          <cell r="B110">
            <v>35501</v>
          </cell>
          <cell r="C110" t="str">
            <v>REPARACIÓN Y MANTENIMIENTO DE EQUIPO DE TRANSPORTE</v>
          </cell>
        </row>
        <row r="111">
          <cell r="B111">
            <v>35601</v>
          </cell>
          <cell r="C111" t="str">
            <v>REPARACIÓN Y MANTENIMIENTO DE EQUIPO DE DEFENSA Y SEGURIDAD</v>
          </cell>
        </row>
        <row r="112">
          <cell r="B112">
            <v>35701</v>
          </cell>
          <cell r="C112" t="str">
            <v>INSTALACIÓN, REPARACIÓN Y MANTENIMIENTO DE MAQUINARIA, OTROS EQUIPOS Y HERRAMIENTA</v>
          </cell>
        </row>
        <row r="113">
          <cell r="B113">
            <v>35801</v>
          </cell>
          <cell r="C113" t="str">
            <v>SERVICIOS DE LIMPIEZA Y MANEJO DE DESECHOS</v>
          </cell>
        </row>
        <row r="114">
          <cell r="B114">
            <v>35901</v>
          </cell>
          <cell r="C114" t="str">
            <v>SERVICIOS DE JARDINERÍA Y FUMIGACIÓN</v>
          </cell>
        </row>
        <row r="115">
          <cell r="B115">
            <v>36101</v>
          </cell>
          <cell r="C115" t="str">
            <v>DIFUSIÓN POR RADIO, TELEVISIÓN Y OTROS MEDIOS DE MENSAJES SOBRE PROGRAMAS Y ACTIVIDADES GUBERNAMENTALES</v>
          </cell>
        </row>
        <row r="116">
          <cell r="B116">
            <v>36201</v>
          </cell>
          <cell r="C116" t="str">
            <v>DIFUSIÓN POR RADIO, TELEVISIÓN Y OTROS MEDIOS DE MENSAJES COMERCIALES PARA PROMOVER LA VENTA DE BIENES O SERVICIOS</v>
          </cell>
        </row>
        <row r="117">
          <cell r="B117">
            <v>36301</v>
          </cell>
          <cell r="C117" t="str">
            <v>SERVICIOS DE CREATIVIDAD, PREPRODUCCIÓN Y PRODUCCIÓN DE PUBLICIDAD, EXCEPTO INTERNET</v>
          </cell>
        </row>
        <row r="118">
          <cell r="B118">
            <v>36401</v>
          </cell>
          <cell r="C118" t="str">
            <v>SERVICIOS DE REVELADO DE FOTOGRAFÍAS</v>
          </cell>
        </row>
        <row r="119">
          <cell r="B119">
            <v>36501</v>
          </cell>
          <cell r="C119" t="str">
            <v>SERVICIOS DE LA INDUSTRIA FÍLMICA, DEL SONIDO Y DEL VIDEO</v>
          </cell>
        </row>
        <row r="120">
          <cell r="B120">
            <v>36601</v>
          </cell>
          <cell r="C120" t="str">
            <v>SERVICIO DE CREACIÓN Y DIFUSIÓN DE CONTENIDO EXCLUSIVAMENTE A TRAVÉS DE INTERNET</v>
          </cell>
        </row>
        <row r="121">
          <cell r="B121">
            <v>36901</v>
          </cell>
          <cell r="C121" t="str">
            <v>OTROS SERVICIOS DE INFORMACIÓN</v>
          </cell>
        </row>
        <row r="122">
          <cell r="B122">
            <v>37101</v>
          </cell>
          <cell r="C122" t="str">
            <v>PASAJES AÉREOS</v>
          </cell>
        </row>
        <row r="123">
          <cell r="B123">
            <v>37201</v>
          </cell>
          <cell r="C123" t="str">
            <v>PASAJES TERRESTRES</v>
          </cell>
        </row>
        <row r="124">
          <cell r="B124">
            <v>37301</v>
          </cell>
          <cell r="C124" t="str">
            <v>PASAJES MARÍTIMOS, LACUSTRES Y FLUVIALES</v>
          </cell>
        </row>
        <row r="125">
          <cell r="B125">
            <v>37401</v>
          </cell>
          <cell r="C125" t="str">
            <v>AUTOTRANSPORTE</v>
          </cell>
        </row>
        <row r="126">
          <cell r="B126">
            <v>37501</v>
          </cell>
          <cell r="C126" t="str">
            <v>VIÁTICOS EN EL PAÍS</v>
          </cell>
        </row>
        <row r="127">
          <cell r="B127">
            <v>37502</v>
          </cell>
          <cell r="C127" t="str">
            <v>ALIMENTOS NACIONALES</v>
          </cell>
        </row>
        <row r="128">
          <cell r="B128">
            <v>37601</v>
          </cell>
          <cell r="C128" t="str">
            <v>VIÁTICOS EN EL EXTRANJERO</v>
          </cell>
        </row>
        <row r="129">
          <cell r="B129">
            <v>37701</v>
          </cell>
          <cell r="C129" t="str">
            <v>GASTOS DE INSTALACIÓN Y TRASLADO DE MENAJE</v>
          </cell>
        </row>
        <row r="130">
          <cell r="B130">
            <v>37801</v>
          </cell>
          <cell r="C130" t="str">
            <v>SERVICIOS INTEGRALES DE TRASLADO Y VIÁTICOS</v>
          </cell>
        </row>
        <row r="131">
          <cell r="B131">
            <v>37901</v>
          </cell>
          <cell r="C131" t="str">
            <v>OTROS SERVICIOS DE TRASLADO Y HOSPEDAJE</v>
          </cell>
        </row>
        <row r="132">
          <cell r="B132">
            <v>38101</v>
          </cell>
          <cell r="C132" t="str">
            <v>GASTOS DE CEREMONIAL</v>
          </cell>
        </row>
        <row r="133">
          <cell r="B133">
            <v>38201</v>
          </cell>
          <cell r="C133" t="str">
            <v>GASTOS DE ORDEN SOCIAL Y CULTURAL</v>
          </cell>
        </row>
        <row r="134">
          <cell r="B134">
            <v>38301</v>
          </cell>
          <cell r="C134" t="str">
            <v>CONGRESOS Y CONVENCIONES</v>
          </cell>
        </row>
        <row r="135">
          <cell r="B135">
            <v>38401</v>
          </cell>
          <cell r="C135" t="str">
            <v>EXPOSICIONES,  FERIAS Y FESTIVALES</v>
          </cell>
        </row>
        <row r="136">
          <cell r="B136">
            <v>38501</v>
          </cell>
          <cell r="C136" t="str">
            <v>GASTOS DE REPRESENTACIÓN</v>
          </cell>
        </row>
        <row r="137">
          <cell r="B137">
            <v>39101</v>
          </cell>
          <cell r="C137" t="str">
            <v>SERVICIOS FUNERARIOS Y DE CEMENTERIOS</v>
          </cell>
        </row>
        <row r="138">
          <cell r="B138">
            <v>39201</v>
          </cell>
          <cell r="C138" t="str">
            <v>IMPUESTOS Y DERECHOS</v>
          </cell>
        </row>
        <row r="139">
          <cell r="B139">
            <v>39202</v>
          </cell>
          <cell r="C139" t="str">
            <v>OTROS IMPUESTOS Y DERECHOS</v>
          </cell>
        </row>
        <row r="140">
          <cell r="B140">
            <v>39301</v>
          </cell>
          <cell r="C140" t="str">
            <v>IMPUESTOS Y DERECHOS DE IMPORTACIÓN</v>
          </cell>
        </row>
        <row r="141">
          <cell r="B141">
            <v>39401</v>
          </cell>
          <cell r="C141" t="str">
            <v>SENTENCIAS Y RESOLUCIONES POR AUTORIDAD COMPETENTE</v>
          </cell>
        </row>
        <row r="142">
          <cell r="B142">
            <v>39501</v>
          </cell>
          <cell r="C142" t="str">
            <v>PENAS, MULTAS, ACCESORIOS Y ACTUALIZACIONES</v>
          </cell>
        </row>
        <row r="143">
          <cell r="B143">
            <v>39601</v>
          </cell>
          <cell r="C143" t="str">
            <v>OTROS GASTOS POR RESPONSABILIDADES</v>
          </cell>
        </row>
        <row r="144">
          <cell r="B144">
            <v>39701</v>
          </cell>
          <cell r="C144" t="str">
            <v>UTILIDADES</v>
          </cell>
        </row>
        <row r="145">
          <cell r="B145">
            <v>39801</v>
          </cell>
          <cell r="C145" t="str">
            <v>IMPUESTO SOBRE NÓMINAS Y OTROS QUE SE DERIVEN DE UNA RELACIÓN LABORAL</v>
          </cell>
        </row>
        <row r="146">
          <cell r="B146">
            <v>39901</v>
          </cell>
          <cell r="C146" t="str">
            <v>OTROS SERVICIOS GENERALES</v>
          </cell>
        </row>
        <row r="147">
          <cell r="B147">
            <v>39903</v>
          </cell>
          <cell r="C147" t="str">
            <v>ESTUDIO Y ANALISIS CLINICO PARA EL PERSONAL DE SEGURIDAD PUBLICA</v>
          </cell>
        </row>
        <row r="148">
          <cell r="B148">
            <v>39909</v>
          </cell>
          <cell r="C148" t="str">
            <v>OTROS SERVICIOS GENERALES</v>
          </cell>
        </row>
        <row r="149">
          <cell r="B149">
            <v>41101</v>
          </cell>
          <cell r="C149" t="str">
            <v>ASIGNACIONES PRESUPUESTARIAS AL PODER EJECUTIVO</v>
          </cell>
        </row>
        <row r="150">
          <cell r="B150">
            <v>42301</v>
          </cell>
          <cell r="C150" t="str">
            <v>TRANSFERENCIAS OTORGADAS PARA INSTITUCIONES PARAESTATALES PÚBLICAS FINANCIERAS</v>
          </cell>
        </row>
        <row r="151">
          <cell r="B151">
            <v>42501</v>
          </cell>
          <cell r="C151" t="str">
            <v>TRANSFERENCIAS A FIDEICOMISOS DE ENTIDADES FEDERATIVAS Y MUNICIPIOS</v>
          </cell>
        </row>
        <row r="152">
          <cell r="B152">
            <v>43301</v>
          </cell>
          <cell r="C152" t="str">
            <v>SUBSIDIOS A LA INVERSIÓN</v>
          </cell>
        </row>
        <row r="153">
          <cell r="B153">
            <v>43401</v>
          </cell>
          <cell r="C153" t="str">
            <v>SUBSIDIOS A LA PRESTACIÓN DE SERVICIOS PÚBLICOS</v>
          </cell>
        </row>
        <row r="154">
          <cell r="B154">
            <v>43501</v>
          </cell>
          <cell r="C154" t="str">
            <v>SUBSIDIOS PARA CUBRIR DIFERENCIALES DE TASAS DE INTERÉS</v>
          </cell>
        </row>
        <row r="155">
          <cell r="B155">
            <v>43601</v>
          </cell>
          <cell r="C155" t="str">
            <v>SUBSIDIOS A LA VIVIENDA</v>
          </cell>
        </row>
        <row r="156">
          <cell r="B156">
            <v>43701</v>
          </cell>
          <cell r="C156" t="str">
            <v>SUBVENCIONES AL CONSUMO</v>
          </cell>
        </row>
        <row r="157">
          <cell r="B157">
            <v>43801</v>
          </cell>
          <cell r="C157" t="str">
            <v>SUBSIDIOS A ENTIDADES FEDERATIVAS Y MUNICIPIOS</v>
          </cell>
        </row>
        <row r="158">
          <cell r="B158">
            <v>43901</v>
          </cell>
          <cell r="C158" t="str">
            <v>OTROS SUBSIDIOS</v>
          </cell>
        </row>
        <row r="159">
          <cell r="B159">
            <v>44101</v>
          </cell>
          <cell r="C159" t="str">
            <v>AYUDAS SOCIALES A PERSONAS</v>
          </cell>
        </row>
        <row r="160">
          <cell r="B160">
            <v>44103</v>
          </cell>
          <cell r="C160" t="str">
            <v>AYUDAS A LA POBLACIÓN VULNERABLE</v>
          </cell>
        </row>
        <row r="161">
          <cell r="B161">
            <v>44104</v>
          </cell>
          <cell r="C161" t="str">
            <v>GASTOS RELACIONADOS CON ACTIVIDADES CULTURALES, DEPORTIVAS</v>
          </cell>
        </row>
        <row r="162">
          <cell r="B162">
            <v>44106</v>
          </cell>
          <cell r="C162" t="str">
            <v>SUBSIDIO AL IMPUESTO PREDIAL</v>
          </cell>
        </row>
        <row r="163">
          <cell r="B163">
            <v>44108</v>
          </cell>
          <cell r="C163" t="str">
            <v>DESCUENTOS AUTORIZADOS</v>
          </cell>
        </row>
        <row r="164">
          <cell r="B164">
            <v>44201</v>
          </cell>
          <cell r="C164" t="str">
            <v>BECAS Y OTRAS AYUDAS PARA PROGRAMAS DE CAPACITACIÓN</v>
          </cell>
        </row>
        <row r="165">
          <cell r="B165">
            <v>44202</v>
          </cell>
          <cell r="C165" t="str">
            <v>PREMIOS, ESTÍMULOS, RECOMPENSAS, BECAS Y SEGUROS A DEPORTISTAS</v>
          </cell>
        </row>
        <row r="166">
          <cell r="B166">
            <v>44301</v>
          </cell>
          <cell r="C166" t="str">
            <v>AYUDAS SOCIALES A INSTITUCIONES DE ENSEÑANZA</v>
          </cell>
        </row>
        <row r="167">
          <cell r="B167">
            <v>44401</v>
          </cell>
          <cell r="C167" t="str">
            <v>AYUDAS SOCIALES A ACTIVIDADES CIENTÍFICAS O ACADÉMICAS</v>
          </cell>
        </row>
        <row r="168">
          <cell r="B168">
            <v>44501</v>
          </cell>
          <cell r="C168" t="str">
            <v>AYUDAS SOCIALES A INSTITUCIONES SIN FINES DE LUCRO</v>
          </cell>
        </row>
        <row r="169">
          <cell r="B169">
            <v>44601</v>
          </cell>
          <cell r="C169" t="str">
            <v>AYUDAS SOCIALES A COOPERATIVAS</v>
          </cell>
        </row>
        <row r="170">
          <cell r="B170">
            <v>44701</v>
          </cell>
          <cell r="C170" t="str">
            <v>AYUDAS SOCIALES A ENTIDADES DE INTERÉS PÚBLICO</v>
          </cell>
        </row>
        <row r="171">
          <cell r="B171">
            <v>44801</v>
          </cell>
          <cell r="C171" t="str">
            <v>AYUDAS POR DESASTRES NATURALES Y OTROS SINIESTROS</v>
          </cell>
        </row>
        <row r="172">
          <cell r="B172">
            <v>45101</v>
          </cell>
          <cell r="C172" t="str">
            <v>PENSIONES</v>
          </cell>
        </row>
        <row r="173">
          <cell r="B173">
            <v>45201</v>
          </cell>
          <cell r="C173" t="str">
            <v>JUBILACIONES</v>
          </cell>
        </row>
        <row r="174">
          <cell r="B174">
            <v>45901</v>
          </cell>
          <cell r="C174" t="str">
            <v>OTRAS PENSIONES Y JUBILACIONES</v>
          </cell>
        </row>
        <row r="175">
          <cell r="B175">
            <v>46101</v>
          </cell>
          <cell r="C175" t="str">
            <v>TRANSFERENCIAS A FIDEICOMISOS DEL PODER EJECUTIVO</v>
          </cell>
        </row>
        <row r="176">
          <cell r="B176">
            <v>46201</v>
          </cell>
          <cell r="C176" t="str">
            <v>TRANSFERENCIAS A FIDEICOMISOS DEL PODER LEGISLATIVO</v>
          </cell>
        </row>
        <row r="177">
          <cell r="B177">
            <v>46301</v>
          </cell>
          <cell r="C177" t="str">
            <v>TRANSFERENCIAS A FIDEICOMISOS DEL PODER JUDICIAL</v>
          </cell>
        </row>
        <row r="178">
          <cell r="B178">
            <v>46401</v>
          </cell>
          <cell r="C178" t="str">
            <v>TRANSFERENCIAS A FIDEICOMISOS PÚBLICOS DE ENTIDADES PARAESTATALES NO EMPRESARIALES Y NO FINANCIERAS</v>
          </cell>
        </row>
        <row r="179">
          <cell r="B179">
            <v>46501</v>
          </cell>
          <cell r="C179" t="str">
            <v>TRANSFERENCIAS A FIDEICOMISOS PÚBLICOS DE ENTIDADES PARAESTATALES EMPRESARIALES Y NO FINANCIERAS</v>
          </cell>
        </row>
        <row r="180">
          <cell r="B180">
            <v>46601</v>
          </cell>
          <cell r="C180" t="str">
            <v>TRANSFERENCIAS A FIDEICOMISOS DE INSTITUCIONES PÚBLICAS FINANCIERAS</v>
          </cell>
        </row>
        <row r="181">
          <cell r="B181">
            <v>46901</v>
          </cell>
          <cell r="C181" t="str">
            <v>OTRAS TRANSFERENCIAS A FIDEICOMISOS</v>
          </cell>
        </row>
        <row r="182">
          <cell r="B182">
            <v>47101</v>
          </cell>
          <cell r="C182" t="str">
            <v>TRANSFERENCIAS POR OBLIGACIÓN DE LEY</v>
          </cell>
        </row>
        <row r="183">
          <cell r="B183">
            <v>48101</v>
          </cell>
          <cell r="C183" t="str">
            <v>DONATIVOS A INSTITUCIONES SIN FINES DE LUCRO</v>
          </cell>
        </row>
        <row r="184">
          <cell r="B184">
            <v>48201</v>
          </cell>
          <cell r="C184" t="str">
            <v>DONATIVOS A ENTIDADES FEDERATIVAS</v>
          </cell>
        </row>
        <row r="185">
          <cell r="B185">
            <v>48301</v>
          </cell>
          <cell r="C185" t="str">
            <v>DONATIVOS A FIDEICOMISOS PRIVADOS</v>
          </cell>
        </row>
        <row r="186">
          <cell r="B186">
            <v>48401</v>
          </cell>
          <cell r="C186" t="str">
            <v>DONATIVOS A FIDEICOMISOS ESTATALES</v>
          </cell>
        </row>
        <row r="187">
          <cell r="B187">
            <v>48501</v>
          </cell>
          <cell r="C187" t="str">
            <v>DONATIVOS INTERNACIONALES</v>
          </cell>
        </row>
        <row r="188">
          <cell r="B188">
            <v>49101</v>
          </cell>
          <cell r="C188" t="str">
            <v>TRANSFERENCIAS PARA GOBIERNOS EXTRANJEROS</v>
          </cell>
        </row>
        <row r="189">
          <cell r="B189">
            <v>49201</v>
          </cell>
          <cell r="C189" t="str">
            <v>TRANSFERENCIAS PARA ORGANISMOS INTERNACIONALES</v>
          </cell>
        </row>
        <row r="190">
          <cell r="B190">
            <v>49301</v>
          </cell>
          <cell r="C190" t="str">
            <v>TRANSFERENCIAS PARA EL SECTOR PRIVADO EXTERNO</v>
          </cell>
        </row>
        <row r="191">
          <cell r="B191">
            <v>51101</v>
          </cell>
          <cell r="C191" t="str">
            <v>MUEBLES DE OFICINA Y ESTANTERÍA</v>
          </cell>
        </row>
        <row r="192">
          <cell r="B192">
            <v>51201</v>
          </cell>
          <cell r="C192" t="str">
            <v>MUEBLES, EXCEPTO DE OFICINA Y ESTANTERÍA</v>
          </cell>
        </row>
        <row r="193">
          <cell r="B193">
            <v>51301</v>
          </cell>
          <cell r="C193" t="str">
            <v>BIENES ARTÍSTICOS, CULTURALES Y CIENTÍFICOS</v>
          </cell>
        </row>
        <row r="194">
          <cell r="B194">
            <v>51401</v>
          </cell>
          <cell r="C194" t="str">
            <v>OBJETOS DE VALOR</v>
          </cell>
        </row>
        <row r="195">
          <cell r="B195">
            <v>51501</v>
          </cell>
          <cell r="C195" t="str">
            <v>EQUIPO DE CÓMPUTO Y DE TECNOLOGÍAS DE LA INFORMACIÓN</v>
          </cell>
        </row>
        <row r="196">
          <cell r="B196">
            <v>51901</v>
          </cell>
          <cell r="C196" t="str">
            <v>OTROS MOBILIARIOS Y EQUIPOS DE ADMINISTRACIÓN</v>
          </cell>
        </row>
        <row r="197">
          <cell r="B197">
            <v>51902</v>
          </cell>
          <cell r="C197" t="str">
            <v>OTROS EQUIPOS DE ADMINISTRACION Y PRODUCCION</v>
          </cell>
        </row>
        <row r="198">
          <cell r="B198">
            <v>52101</v>
          </cell>
          <cell r="C198" t="str">
            <v>EQUIPOS Y APARATOS AUDIOVISUALES</v>
          </cell>
        </row>
        <row r="199">
          <cell r="B199">
            <v>52201</v>
          </cell>
          <cell r="C199" t="str">
            <v>APARATOS DEPORTIVOS</v>
          </cell>
        </row>
        <row r="200">
          <cell r="B200">
            <v>52301</v>
          </cell>
          <cell r="C200" t="str">
            <v>CÁMARAS FOTOGRÁFICAS Y DE VIDEO</v>
          </cell>
        </row>
        <row r="201">
          <cell r="B201">
            <v>52901</v>
          </cell>
          <cell r="C201" t="str">
            <v>OTRO MOBILIARIO Y EQUIPO EDUCACIONAL Y RECREATIVO</v>
          </cell>
        </row>
        <row r="202">
          <cell r="B202">
            <v>53101</v>
          </cell>
          <cell r="C202" t="str">
            <v>EQUIPO MÉDICO Y DE LABORATORIO</v>
          </cell>
        </row>
        <row r="203">
          <cell r="B203">
            <v>53201</v>
          </cell>
          <cell r="C203" t="str">
            <v>INSTRUMENTAL MÉDICO Y DE LABORATORIO</v>
          </cell>
        </row>
        <row r="204">
          <cell r="B204">
            <v>54101</v>
          </cell>
          <cell r="C204" t="str">
            <v>VEHÍCULOS Y EQUIPO TERRESTRE</v>
          </cell>
        </row>
        <row r="205">
          <cell r="B205">
            <v>54201</v>
          </cell>
          <cell r="C205" t="str">
            <v>CARROCERÍAS Y REMOLQUES</v>
          </cell>
        </row>
        <row r="206">
          <cell r="B206">
            <v>54301</v>
          </cell>
          <cell r="C206" t="str">
            <v>EQUIPO AEROESPACIAL</v>
          </cell>
        </row>
        <row r="207">
          <cell r="B207">
            <v>54401</v>
          </cell>
          <cell r="C207" t="str">
            <v>EQUIPO FERROVIARIO</v>
          </cell>
        </row>
        <row r="208">
          <cell r="B208">
            <v>54501</v>
          </cell>
          <cell r="C208" t="str">
            <v>EMBARCACIONES</v>
          </cell>
        </row>
        <row r="209">
          <cell r="B209">
            <v>54901</v>
          </cell>
          <cell r="C209" t="str">
            <v>OTROS EQUIPOS DE TRANSPORTE</v>
          </cell>
        </row>
        <row r="210">
          <cell r="B210">
            <v>55101</v>
          </cell>
          <cell r="C210" t="str">
            <v>EQUIPO DE SEGURIDAD PÚBLICA</v>
          </cell>
        </row>
        <row r="211">
          <cell r="B211">
            <v>56101</v>
          </cell>
          <cell r="C211" t="str">
            <v>MAQUINARIA Y EQUIPO AGROPECUARIO</v>
          </cell>
        </row>
        <row r="212">
          <cell r="B212">
            <v>56201</v>
          </cell>
          <cell r="C212" t="str">
            <v>MAQUINARIA Y EQUIPO INDUSTRIAL</v>
          </cell>
        </row>
        <row r="213">
          <cell r="B213">
            <v>56301</v>
          </cell>
          <cell r="C213" t="str">
            <v>MAQUINARIA Y EQUIPO DE CONSTRUCCIÓN</v>
          </cell>
        </row>
        <row r="214">
          <cell r="B214">
            <v>56401</v>
          </cell>
          <cell r="C214" t="str">
            <v>SISTEMAS DE AIRE ACONDICIONADO, CALEFACCIÓN Y DE REFRIGERACIÓN INDUSTRIAL Y COMERCIAL</v>
          </cell>
        </row>
        <row r="215">
          <cell r="B215">
            <v>56501</v>
          </cell>
          <cell r="C215" t="str">
            <v>EQUIPO DE COMUNICACIÓN Y TELECOMUNICACIÓN</v>
          </cell>
        </row>
        <row r="216">
          <cell r="B216">
            <v>56601</v>
          </cell>
          <cell r="C216" t="str">
            <v>EQUIPOS DE GENERACIÓN ELÉCTRICA, APARATOS Y ACCESORIOS ELÉCTRICOS</v>
          </cell>
        </row>
        <row r="217">
          <cell r="B217">
            <v>56701</v>
          </cell>
          <cell r="C217" t="str">
            <v>HERRAMIENTAS Y MÁQUINA–HERRAMIENTA</v>
          </cell>
        </row>
        <row r="218">
          <cell r="B218">
            <v>56901</v>
          </cell>
          <cell r="C218" t="str">
            <v>OTROS EQUIPOS</v>
          </cell>
        </row>
        <row r="219">
          <cell r="B219">
            <v>56902</v>
          </cell>
          <cell r="C219" t="str">
            <v>MAQUINARIA Y EQUIPO DIVERSO</v>
          </cell>
        </row>
        <row r="220">
          <cell r="B220">
            <v>57101</v>
          </cell>
          <cell r="C220" t="str">
            <v>BOVINOS</v>
          </cell>
        </row>
        <row r="221">
          <cell r="B221">
            <v>57201</v>
          </cell>
          <cell r="C221" t="str">
            <v>PORCINOS</v>
          </cell>
        </row>
        <row r="222">
          <cell r="B222">
            <v>57301</v>
          </cell>
          <cell r="C222" t="str">
            <v>AVES</v>
          </cell>
        </row>
        <row r="223">
          <cell r="B223">
            <v>57401</v>
          </cell>
          <cell r="C223" t="str">
            <v>OVINOS Y CAPRINOS</v>
          </cell>
        </row>
        <row r="224">
          <cell r="B224">
            <v>57501</v>
          </cell>
          <cell r="C224" t="str">
            <v>PECES Y ACUICULTURA</v>
          </cell>
        </row>
        <row r="225">
          <cell r="B225">
            <v>57601</v>
          </cell>
          <cell r="C225" t="str">
            <v>EQUINOS</v>
          </cell>
        </row>
        <row r="226">
          <cell r="B226">
            <v>57701</v>
          </cell>
          <cell r="C226" t="str">
            <v>ESPECIES MENORES Y DE ZOOLÓGICO</v>
          </cell>
        </row>
        <row r="227">
          <cell r="B227">
            <v>57801</v>
          </cell>
          <cell r="C227" t="str">
            <v>ÁRBOLES Y PLANTAS</v>
          </cell>
        </row>
        <row r="228">
          <cell r="B228">
            <v>57901</v>
          </cell>
          <cell r="C228" t="str">
            <v>OTROS ACTIVOS BIOLÓGICOS</v>
          </cell>
        </row>
        <row r="229">
          <cell r="B229">
            <v>58101</v>
          </cell>
          <cell r="C229" t="str">
            <v>TERRENOS</v>
          </cell>
        </row>
        <row r="230">
          <cell r="B230">
            <v>58201</v>
          </cell>
          <cell r="C230" t="str">
            <v>VIVIENDAS</v>
          </cell>
        </row>
        <row r="231">
          <cell r="B231">
            <v>58301</v>
          </cell>
          <cell r="C231" t="str">
            <v>EDIFICIOS NO RESIDENCIALES</v>
          </cell>
        </row>
        <row r="232">
          <cell r="B232">
            <v>58901</v>
          </cell>
          <cell r="C232" t="str">
            <v>OTROS BIENES INMUEBLES</v>
          </cell>
        </row>
        <row r="233">
          <cell r="B233">
            <v>59101</v>
          </cell>
          <cell r="C233" t="str">
            <v>SOFTWARE</v>
          </cell>
        </row>
        <row r="234">
          <cell r="B234">
            <v>59201</v>
          </cell>
          <cell r="C234" t="str">
            <v>PATENTES</v>
          </cell>
        </row>
        <row r="235">
          <cell r="B235">
            <v>59301</v>
          </cell>
          <cell r="C235" t="str">
            <v>MARCAS</v>
          </cell>
        </row>
        <row r="236">
          <cell r="B236">
            <v>59401</v>
          </cell>
          <cell r="C236" t="str">
            <v>DERECHOS</v>
          </cell>
        </row>
        <row r="237">
          <cell r="B237">
            <v>59501</v>
          </cell>
          <cell r="C237" t="str">
            <v>CONCESIONES</v>
          </cell>
        </row>
        <row r="238">
          <cell r="B238">
            <v>59601</v>
          </cell>
          <cell r="C238" t="str">
            <v>FRANQUICIAS</v>
          </cell>
        </row>
        <row r="239">
          <cell r="B239">
            <v>59701</v>
          </cell>
          <cell r="C239" t="str">
            <v>LICENCIAS INFORMÁTICAS E INTELECTUALES</v>
          </cell>
        </row>
        <row r="240">
          <cell r="B240">
            <v>59801</v>
          </cell>
          <cell r="C240" t="str">
            <v>LICENCIAS INDUSTRIALES, COMERCIALES Y OTRAS</v>
          </cell>
        </row>
        <row r="241">
          <cell r="B241">
            <v>59901</v>
          </cell>
          <cell r="C241" t="str">
            <v>OTROS ACTIVOS INTANGIBLES</v>
          </cell>
        </row>
        <row r="242">
          <cell r="B242">
            <v>61101</v>
          </cell>
          <cell r="C242" t="str">
            <v>EDIFICACIÓN HABITACIONAL</v>
          </cell>
        </row>
        <row r="243">
          <cell r="B243">
            <v>61201</v>
          </cell>
          <cell r="C243" t="str">
            <v>EDIFICACIÓN NO HABITACIONAL</v>
          </cell>
        </row>
        <row r="244">
          <cell r="B244">
            <v>61301</v>
          </cell>
          <cell r="C244" t="str">
            <v>OBRAS PARA ABASTECIMIENTO DE AGUA, PETRÓLEO Y GAS</v>
          </cell>
        </row>
        <row r="245">
          <cell r="B245">
            <v>61302</v>
          </cell>
          <cell r="C245" t="str">
            <v>OBRAS PARA EL ABASTECIMIENTO DE ELECTRICIDAD</v>
          </cell>
        </row>
        <row r="246">
          <cell r="B246">
            <v>61303</v>
          </cell>
          <cell r="C246" t="str">
            <v>OBRAS PARA EL ABASTECIMIENTO DE TELECOMUNICACIONES</v>
          </cell>
        </row>
        <row r="247">
          <cell r="B247">
            <v>61401</v>
          </cell>
          <cell r="C247" t="str">
            <v>DIVISIÓN DE TERRENOS Y CONSTRUCCIÓN DE OBRAS DE URBANIZACIÓN</v>
          </cell>
        </row>
        <row r="248">
          <cell r="B248">
            <v>61402</v>
          </cell>
          <cell r="C248" t="str">
            <v>CONSTRUCCIÓN Y/O REHABILITACIÓN DE INFRAESTRUCTURA SANITARIA EN AGUA POTABLE Y ALCANTARILLADO</v>
          </cell>
        </row>
        <row r="249">
          <cell r="B249">
            <v>61501</v>
          </cell>
          <cell r="C249" t="str">
            <v>CONSTRUCCIÓN DE VÍAS DE COMUNICACIÓN</v>
          </cell>
        </row>
        <row r="250">
          <cell r="B250">
            <v>61601</v>
          </cell>
          <cell r="C250" t="str">
            <v>OTRAS CONSTRUCCIONES DE INGENIERÍA CIVIL U OBRA PESADA</v>
          </cell>
        </row>
        <row r="251">
          <cell r="B251">
            <v>61701</v>
          </cell>
          <cell r="C251" t="str">
            <v>INSTALACIONES Y EQUIPAMIENTO EN CONSTRUCCIONES</v>
          </cell>
        </row>
        <row r="252">
          <cell r="B252">
            <v>61901</v>
          </cell>
          <cell r="C252" t="str">
            <v>TRABAJOS DE ACABADOS EN EDIFICACIONES Y OTROS TRABAJOS ESPECIALIZADOS</v>
          </cell>
        </row>
        <row r="253">
          <cell r="B253">
            <v>62101</v>
          </cell>
          <cell r="C253" t="str">
            <v>EDIFICACIÓN HABITACIONAL</v>
          </cell>
        </row>
        <row r="254">
          <cell r="B254">
            <v>62111</v>
          </cell>
          <cell r="C254" t="str">
            <v>EDIFICACIÓN HABITACIONAL TRANSFERIBLE</v>
          </cell>
        </row>
        <row r="255">
          <cell r="B255">
            <v>62201</v>
          </cell>
          <cell r="C255" t="str">
            <v>CONSTRUCCIÓN Y/O REHABILITACIÓN DE ESCUELAS Y ESPACIOS EDUCATIVOS</v>
          </cell>
        </row>
        <row r="256">
          <cell r="B256">
            <v>62202</v>
          </cell>
          <cell r="C256" t="str">
            <v>CONSTRUCCIÓN Y/O REHABILITACIÓN DE HOSPITALES Y CENTROS DE SALUD</v>
          </cell>
        </row>
        <row r="257">
          <cell r="B257">
            <v>62203</v>
          </cell>
          <cell r="C257" t="str">
            <v>CONSTRUCCIÓN Y/O REHABILITACIÓN DE ESPACIOS DEPORTIVOS</v>
          </cell>
        </row>
        <row r="258">
          <cell r="B258">
            <v>62204</v>
          </cell>
          <cell r="C258" t="str">
            <v>CONSTRUCCIÓN Y/O REHABILITACIÓN DE INFRAESTRUCTURA PENITENCIARIA</v>
          </cell>
        </row>
        <row r="259">
          <cell r="B259">
            <v>62205</v>
          </cell>
          <cell r="C259" t="str">
            <v>CONSTRUCCIÓN Y/O REHABILITACIÓN DE INFRAESTRUCTURA CULTURAL</v>
          </cell>
        </row>
        <row r="260">
          <cell r="B260">
            <v>62206</v>
          </cell>
          <cell r="C260" t="str">
            <v>CONSTRUCCIÓN Y/O REHABILITACIÓN DE INFRAESTRUCTURA SOCIAL</v>
          </cell>
        </row>
        <row r="261">
          <cell r="B261">
            <v>62207</v>
          </cell>
          <cell r="C261" t="str">
            <v>CONSTRUCCIÓN Y/O REHABILITACIÓN DE INFRAESTRUCTURA TURÍSTICA</v>
          </cell>
        </row>
        <row r="262">
          <cell r="B262">
            <v>62208</v>
          </cell>
          <cell r="C262" t="str">
            <v>CONSTRUCCIÓN Y/O REHABILITACIÓN DE EDIFICIOS PÚBLICOS</v>
          </cell>
        </row>
        <row r="263">
          <cell r="B263">
            <v>62211</v>
          </cell>
          <cell r="C263" t="str">
            <v>CONSTRUCCIÓN Y/O REHABILITACIÓN DE ESCUELAS Y ESPACIOS EDUCATIVOS TRANSFERIBLE</v>
          </cell>
        </row>
        <row r="264">
          <cell r="B264">
            <v>62212</v>
          </cell>
          <cell r="C264" t="str">
            <v>CONSTRUCCIÓN Y/O REHABILITACIÓN DE HOSPITALES Y CENTROS DE SALUD TRANSFERIBLES</v>
          </cell>
        </row>
        <row r="265">
          <cell r="B265">
            <v>62213</v>
          </cell>
          <cell r="C265" t="str">
            <v>CONSTRUCCIÓN Y/O REHABILITACIÓN DE ESPACIOS DEPORTIVOS TRANSFERIBLES</v>
          </cell>
        </row>
        <row r="266">
          <cell r="B266">
            <v>62214</v>
          </cell>
          <cell r="C266" t="str">
            <v>CONSTRUCCIÓN Y/O REHABILITACIÓN DE INFRAESTRUCTURA PENITENCIARIA TRANSFERIBLES</v>
          </cell>
        </row>
        <row r="267">
          <cell r="B267">
            <v>62215</v>
          </cell>
          <cell r="C267" t="str">
            <v>CONSTRUCCIÓN Y/O REHABILITACIÓN DE INFRAESTRUCTURA CULTURAL TRANSFERIBLES</v>
          </cell>
        </row>
        <row r="268">
          <cell r="B268">
            <v>62216</v>
          </cell>
          <cell r="C268" t="str">
            <v>CONSTRUCCIÓN Y/O REHABILITACIÓN DE INFRAESTRUCTURA SOCIAL TRANSFERIBLE</v>
          </cell>
        </row>
        <row r="269">
          <cell r="B269">
            <v>62217</v>
          </cell>
          <cell r="C269" t="str">
            <v>CONSTRUCCIÓN Y/O REHABILITACIÓN DE INFRAESTRUCTURA TURÍSTICA TRANSFERIBLES</v>
          </cell>
        </row>
        <row r="270">
          <cell r="B270">
            <v>62218</v>
          </cell>
          <cell r="C270" t="str">
            <v>CONSTRUCCIÓN Y/O REHABILITACIÓN DE EDIFICIOS PÚBLICOS TRANSFERIBLES</v>
          </cell>
        </row>
        <row r="271">
          <cell r="B271">
            <v>62301</v>
          </cell>
          <cell r="C271" t="str">
            <v>CONSTRUCCIÓN DE OBRAS PARA EL ABASTECIMIENTO DE AGUA, PETRÓLEO, GAS, ELECTRICIDAD Y TELECOMUNICACIONES</v>
          </cell>
        </row>
        <row r="272">
          <cell r="B272">
            <v>62311</v>
          </cell>
          <cell r="C272" t="str">
            <v>CONSTRUCCIÓN DE OBRAS PARA EL ABASTECIMIENTO DE AGUA, PETRÓLEO, GAS, ELECTRICIDAD Y TELECOMUNICACIONES TRANSFERIBLES</v>
          </cell>
        </row>
        <row r="273">
          <cell r="B273">
            <v>62401</v>
          </cell>
          <cell r="C273" t="str">
            <v>DIVISIÓN DE TERRENOS Y CONSTRUCCIÓN DE OBRAS DE URBANIZACIÓN</v>
          </cell>
        </row>
        <row r="274">
          <cell r="B274">
            <v>62411</v>
          </cell>
          <cell r="C274" t="str">
            <v>DIVISIÓN DE TERRENOS Y CONSTRUCCIÓN DE OBRAS DE URBANIZACIÓN TRANSFERIBLES</v>
          </cell>
        </row>
        <row r="275">
          <cell r="B275">
            <v>62501</v>
          </cell>
          <cell r="C275" t="str">
            <v>CONSTRUCCIÓN DE VÍAS DE COMUNICACIÓN</v>
          </cell>
        </row>
        <row r="276">
          <cell r="B276">
            <v>62511</v>
          </cell>
          <cell r="C276" t="str">
            <v>CONSTRUCCIÓN DE VÍAS DE COMUNICACIÓN TRANSFERIBLES</v>
          </cell>
        </row>
        <row r="277">
          <cell r="B277">
            <v>62521</v>
          </cell>
          <cell r="C277" t="str">
            <v>CONSTRUCCIÓN DE VÍAS DE COMUNICACIÓN INFRAESTRUCTURA</v>
          </cell>
        </row>
        <row r="278">
          <cell r="B278">
            <v>62601</v>
          </cell>
          <cell r="C278" t="str">
            <v>OTRAS CONSTRUCCIONES DE INGENIERÍA CIVIL U OBRA PESADA</v>
          </cell>
        </row>
        <row r="279">
          <cell r="B279">
            <v>62701</v>
          </cell>
          <cell r="C279" t="str">
            <v>INSTALACIONES Y EQUIPAMIENTO EN CONSTRUCCIONES</v>
          </cell>
        </row>
        <row r="280">
          <cell r="B280">
            <v>62901</v>
          </cell>
          <cell r="C280" t="str">
            <v>TRABAJOS DE ACABADOS EN EDIFICACIONES Y OTROS TRABAJOS ESPECIALIZADOS</v>
          </cell>
        </row>
        <row r="281">
          <cell r="B281">
            <v>63101</v>
          </cell>
          <cell r="C281" t="str">
            <v>ESTUDIOS, FORMULACIÓN Y EVALUACIÓN DE PROYECTOS PRODUCTIVOS NO INCLUIDOS EN CONCEPTOS ANTERIORES DE ESTE CAPÍTULO</v>
          </cell>
        </row>
        <row r="282">
          <cell r="B282">
            <v>63201</v>
          </cell>
          <cell r="C282" t="str">
            <v>PROYECTOS PRODUCTIVOS Y ACCIONES DE FOMENTO SOCIAL</v>
          </cell>
        </row>
        <row r="283">
          <cell r="B283">
            <v>63202</v>
          </cell>
          <cell r="C283" t="str">
            <v>PROYECTOS PRODUCTIVOS Y ACCIONES DE FOMENTO EDUCATIVO, CULTURAL Y DEPORTIVO</v>
          </cell>
        </row>
        <row r="284">
          <cell r="B284">
            <v>63203</v>
          </cell>
          <cell r="C284" t="str">
            <v>PROYECTOS PRODUCTIVOS Y ACCIONES DE FOMENTO ECONÓMICO Y TURÍSTICO</v>
          </cell>
        </row>
        <row r="285">
          <cell r="B285">
            <v>63204</v>
          </cell>
          <cell r="C285" t="str">
            <v>PROYECTOS PRODUCTIVOS Y ACCIONES DE FOMENTO AGROPECUARIO</v>
          </cell>
        </row>
        <row r="286">
          <cell r="B286">
            <v>63205</v>
          </cell>
          <cell r="C286" t="str">
            <v>PROYECTOS PRODUCTIVOS Y ACCIONES DE FOMENTO ECOLÓGICO</v>
          </cell>
        </row>
        <row r="287">
          <cell r="B287">
            <v>63206</v>
          </cell>
          <cell r="C287" t="str">
            <v>PROYECTOS PRODUCTIVOS Y ACCIONES DE FOMENTO EN MATERIA DE SEGURIDAD PÚBLICA</v>
          </cell>
        </row>
        <row r="288">
          <cell r="B288">
            <v>63207</v>
          </cell>
          <cell r="C288" t="str">
            <v>PROYECTOS PRODUCTIVOS Y ACCIONES DE FOMENTO A LA SALUD</v>
          </cell>
        </row>
        <row r="289">
          <cell r="B289">
            <v>63208</v>
          </cell>
          <cell r="C289" t="str">
            <v>PROYECTOS PRODUCTIVOS Y ACCIONES DE FOMENTO URBANO Y DE VÍAS DE COMUNICACIÓN</v>
          </cell>
        </row>
        <row r="290">
          <cell r="B290">
            <v>63209</v>
          </cell>
          <cell r="C290" t="str">
            <v>OTROS PROYECTOS PRODUCTIVOS Y ACCIONES DE FOMENTO</v>
          </cell>
        </row>
      </sheetData>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Tesoreria" id="{58E5B493-E4AD-4C2F-8A26-6FA20B60C846}" userId="Tesoreria"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8" dT="2025-10-28T19:00:58.42" personId="{58E5B493-E4AD-4C2F-8A26-6FA20B60C846}" id="{0467112D-7F58-4FB4-8E50-62131062CE64}">
    <text>El tipo de gasto se conserva a 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17660-BD4A-413B-B245-5B80FB2A26AA}">
  <sheetPr codeName="Hoja1">
    <pageSetUpPr fitToPage="1"/>
  </sheetPr>
  <dimension ref="A1:K38"/>
  <sheetViews>
    <sheetView showGridLines="0" tabSelected="1" zoomScale="60" zoomScaleNormal="60" workbookViewId="0">
      <selection activeCell="L11" sqref="L11"/>
    </sheetView>
  </sheetViews>
  <sheetFormatPr baseColWidth="10" defaultRowHeight="15" x14ac:dyDescent="0.25"/>
  <cols>
    <col min="2" max="2" width="15.42578125" customWidth="1"/>
    <col min="3" max="3" width="18.140625" customWidth="1"/>
    <col min="4" max="4" width="15.42578125" customWidth="1"/>
    <col min="5" max="5" width="29" customWidth="1"/>
    <col min="6" max="6" width="15.42578125" customWidth="1"/>
    <col min="7" max="7" width="20.85546875" customWidth="1"/>
    <col min="8" max="8" width="15.42578125" customWidth="1"/>
    <col min="9" max="9" width="28.7109375" customWidth="1"/>
    <col min="10" max="11" width="15.42578125" customWidth="1"/>
  </cols>
  <sheetData>
    <row r="1" spans="2:11" x14ac:dyDescent="0.25">
      <c r="B1" s="41" t="s">
        <v>349</v>
      </c>
      <c r="C1" s="41"/>
      <c r="D1" s="41"/>
      <c r="E1" s="41"/>
      <c r="F1" s="41"/>
      <c r="G1" s="41"/>
      <c r="H1" s="41"/>
      <c r="I1" s="41"/>
      <c r="J1" s="41"/>
      <c r="K1" s="41"/>
    </row>
    <row r="2" spans="2:11" x14ac:dyDescent="0.25">
      <c r="B2" s="41" t="s">
        <v>611</v>
      </c>
      <c r="C2" s="41"/>
      <c r="D2" s="41"/>
      <c r="E2" s="41"/>
      <c r="F2" s="41"/>
      <c r="G2" s="41"/>
      <c r="H2" s="41"/>
      <c r="I2" s="41"/>
      <c r="J2" s="41"/>
      <c r="K2" s="41"/>
    </row>
    <row r="3" spans="2:11" ht="15.75" thickBot="1" x14ac:dyDescent="0.3"/>
    <row r="4" spans="2:11" ht="27" customHeight="1" x14ac:dyDescent="0.25">
      <c r="B4" s="46" t="s">
        <v>618</v>
      </c>
      <c r="C4" s="47" t="s">
        <v>615</v>
      </c>
      <c r="D4" s="48"/>
      <c r="E4" s="48"/>
      <c r="F4" s="48"/>
      <c r="G4" s="48"/>
      <c r="H4" s="48"/>
      <c r="I4" s="48"/>
      <c r="J4" s="48"/>
      <c r="K4" s="49"/>
    </row>
    <row r="5" spans="2:11" ht="20.25" customHeight="1" thickBot="1" x14ac:dyDescent="0.3">
      <c r="B5" s="46"/>
      <c r="C5" s="50"/>
      <c r="D5" s="51"/>
      <c r="E5" s="51"/>
      <c r="F5" s="51"/>
      <c r="G5" s="51"/>
      <c r="H5" s="51"/>
      <c r="I5" s="51"/>
      <c r="J5" s="51"/>
      <c r="K5" s="52"/>
    </row>
    <row r="6" spans="2:11" ht="15.75" thickBot="1" x14ac:dyDescent="0.3">
      <c r="B6" s="25"/>
    </row>
    <row r="7" spans="2:11" ht="13.9" customHeight="1" x14ac:dyDescent="0.25">
      <c r="B7" s="46" t="s">
        <v>619</v>
      </c>
      <c r="C7" s="47" t="s">
        <v>616</v>
      </c>
      <c r="D7" s="48"/>
      <c r="E7" s="48"/>
      <c r="F7" s="48"/>
      <c r="G7" s="48"/>
      <c r="H7" s="48"/>
      <c r="I7" s="48"/>
      <c r="J7" s="48"/>
      <c r="K7" s="49"/>
    </row>
    <row r="8" spans="2:11" ht="17.25" customHeight="1" thickBot="1" x14ac:dyDescent="0.3">
      <c r="B8" s="46"/>
      <c r="C8" s="50"/>
      <c r="D8" s="51"/>
      <c r="E8" s="51"/>
      <c r="F8" s="51"/>
      <c r="G8" s="51"/>
      <c r="H8" s="51"/>
      <c r="I8" s="51"/>
      <c r="J8" s="51"/>
      <c r="K8" s="52"/>
    </row>
    <row r="9" spans="2:11" x14ac:dyDescent="0.25">
      <c r="B9" s="25"/>
    </row>
    <row r="10" spans="2:11" ht="15.75" thickBot="1" x14ac:dyDescent="0.3">
      <c r="B10" s="25"/>
    </row>
    <row r="11" spans="2:11" ht="43.15" customHeight="1" thickBot="1" x14ac:dyDescent="0.3">
      <c r="B11" s="53" t="s">
        <v>612</v>
      </c>
      <c r="C11" s="54"/>
      <c r="D11" s="54"/>
      <c r="E11" s="54"/>
      <c r="F11" s="54"/>
      <c r="G11" s="54"/>
      <c r="H11" s="54"/>
      <c r="I11" s="54"/>
      <c r="J11" s="54"/>
      <c r="K11" s="55"/>
    </row>
    <row r="12" spans="2:11" x14ac:dyDescent="0.25">
      <c r="B12" s="56" t="s">
        <v>609</v>
      </c>
      <c r="C12" s="57"/>
      <c r="D12" s="28" t="s">
        <v>342</v>
      </c>
      <c r="E12" s="27" t="s">
        <v>512</v>
      </c>
      <c r="F12" s="56" t="s">
        <v>543</v>
      </c>
      <c r="G12" s="57"/>
      <c r="H12" s="26" t="s">
        <v>49</v>
      </c>
      <c r="I12" s="27" t="str">
        <f>+VLOOKUP(E12,CONDICIONES!A4:B4,2,FALSE)</f>
        <v>H001</v>
      </c>
      <c r="J12" s="26" t="s">
        <v>591</v>
      </c>
      <c r="K12" s="27">
        <f>+VLOOKUP(E12,CONDICIONES!C4:D4,2,FALSE)</f>
        <v>2</v>
      </c>
    </row>
    <row r="13" spans="2:11" s="9" customFormat="1" ht="29.25" customHeight="1" x14ac:dyDescent="0.25">
      <c r="B13" s="42" t="str">
        <f>+VLOOKUP(E12,CONDICIONES!C4:N4,12,FALSE)</f>
        <v>1 vehículo</v>
      </c>
      <c r="C13" s="43"/>
      <c r="D13" s="42" t="str">
        <f>+VLOOKUP(E12,PROYECTO!B:C,2,FALSE)</f>
        <v xml:space="preserve">  CONTROL DEL DESARROLLO URBANO</v>
      </c>
      <c r="E13" s="43"/>
      <c r="F13" s="44">
        <f>+VLOOKUP(E12,CONDICIONES!C4:I4,7,FALSE)</f>
        <v>700000</v>
      </c>
      <c r="G13" s="45"/>
      <c r="H13" s="42" t="str">
        <f>+VLOOKUP(I12,U.A!B:C,2,FALSE)</f>
        <v>Dirección de Planeación y Desarrollo Urbano</v>
      </c>
      <c r="I13" s="43"/>
      <c r="J13" s="42" t="str">
        <f>+VLOOKUP(K12,EJES!B:C,2,FALSE)</f>
        <v>RINCÓN RESPONSABLE Y CULTO</v>
      </c>
      <c r="K13" s="43"/>
    </row>
    <row r="18" spans="1:11" s="9" customFormat="1" ht="32.25" customHeight="1" x14ac:dyDescent="0.25">
      <c r="B18" s="8" t="s">
        <v>340</v>
      </c>
      <c r="C18" s="9" t="s">
        <v>341</v>
      </c>
      <c r="D18" s="9" t="s">
        <v>342</v>
      </c>
      <c r="E18" s="9" t="s">
        <v>343</v>
      </c>
      <c r="F18" s="9" t="s">
        <v>58</v>
      </c>
      <c r="G18" s="9" t="s">
        <v>344</v>
      </c>
      <c r="H18" s="8" t="s">
        <v>345</v>
      </c>
      <c r="I18" s="9" t="s">
        <v>346</v>
      </c>
      <c r="J18" s="9" t="s">
        <v>347</v>
      </c>
      <c r="K18" s="8" t="s">
        <v>348</v>
      </c>
    </row>
    <row r="19" spans="1:11" s="22" customFormat="1" ht="30" customHeight="1" x14ac:dyDescent="0.25">
      <c r="A19" s="23"/>
      <c r="B19" s="23" t="s">
        <v>27</v>
      </c>
      <c r="C19" s="23" t="str">
        <f>+VLOOKUP(B19,[1]U.A!$B$3:$C$50,2,FALSE)</f>
        <v>Dirección de Planeación y Desarrollo Urbano</v>
      </c>
      <c r="D19" s="23" t="str">
        <f>+$E$12</f>
        <v>067</v>
      </c>
      <c r="E19" s="23" t="str">
        <f t="shared" ref="E19:E27" si="0">+$D$13</f>
        <v xml:space="preserve">  CONTROL DEL DESARROLLO URBANO</v>
      </c>
      <c r="F19" s="23">
        <v>1101</v>
      </c>
      <c r="G19" s="23" t="str">
        <f>+VLOOKUP(F19,[1]F.F!$B$3:$C$7,2,FALSE)</f>
        <v>Recursos Fiscales 2026</v>
      </c>
      <c r="H19" s="23">
        <v>54101</v>
      </c>
      <c r="I19" s="23" t="str">
        <f>+VLOOKUP(H19,[1]COG!$B$3:$C$290,2,FALSE)</f>
        <v>VEHÍCULOS Y EQUIPO TERRESTRE</v>
      </c>
      <c r="J19" s="23">
        <f>+IF(H19&lt;49999,1,2)</f>
        <v>2</v>
      </c>
      <c r="K19" s="38">
        <v>370000</v>
      </c>
    </row>
    <row r="20" spans="1:11" s="22" customFormat="1" ht="30" customHeight="1" x14ac:dyDescent="0.25">
      <c r="A20" s="23"/>
      <c r="B20" s="23" t="s">
        <v>27</v>
      </c>
      <c r="C20" s="23" t="str">
        <f>+VLOOKUP(B20,[1]U.A!$B$3:$C$50,2,FALSE)</f>
        <v>Dirección de Planeación y Desarrollo Urbano</v>
      </c>
      <c r="D20" s="23" t="str">
        <f t="shared" ref="D20:D27" si="1">+$E$12</f>
        <v>067</v>
      </c>
      <c r="E20" s="23" t="str">
        <f t="shared" si="0"/>
        <v xml:space="preserve">  CONTROL DEL DESARROLLO URBANO</v>
      </c>
      <c r="F20" s="23">
        <v>1101</v>
      </c>
      <c r="G20" s="23" t="str">
        <f>+VLOOKUP(F20,[1]F.F!$B$3:$C$7,2,FALSE)</f>
        <v>Recursos Fiscales 2026</v>
      </c>
      <c r="H20" s="23">
        <v>29601</v>
      </c>
      <c r="I20" s="23" t="str">
        <f>+VLOOKUP(H20,[1]COG!$B$3:$C$290,2,FALSE)</f>
        <v>REFACCIONES Y ACCESORIOS MENORES DE EQUIPO DE TRANSPORTE</v>
      </c>
      <c r="J20" s="23">
        <f t="shared" ref="J20:J27" si="2">+IF(H20&lt;49999,1,2)</f>
        <v>1</v>
      </c>
      <c r="K20" s="38">
        <v>25000</v>
      </c>
    </row>
    <row r="21" spans="1:11" s="22" customFormat="1" ht="30" customHeight="1" x14ac:dyDescent="0.25">
      <c r="A21" s="23"/>
      <c r="B21" s="23" t="s">
        <v>27</v>
      </c>
      <c r="C21" s="23" t="str">
        <f>+VLOOKUP(B21,[1]U.A!$B$3:$C$50,2,FALSE)</f>
        <v>Dirección de Planeación y Desarrollo Urbano</v>
      </c>
      <c r="D21" s="23" t="str">
        <f t="shared" si="1"/>
        <v>067</v>
      </c>
      <c r="E21" s="23" t="str">
        <f t="shared" si="0"/>
        <v xml:space="preserve">  CONTROL DEL DESARROLLO URBANO</v>
      </c>
      <c r="F21" s="23">
        <v>1101</v>
      </c>
      <c r="G21" s="23" t="str">
        <f>+VLOOKUP(F21,[1]F.F!$B$3:$C$7,2,FALSE)</f>
        <v>Recursos Fiscales 2026</v>
      </c>
      <c r="H21" s="23">
        <v>35501</v>
      </c>
      <c r="I21" s="23" t="str">
        <f>+VLOOKUP(H21,[1]COG!$B$3:$C$290,2,FALSE)</f>
        <v>REPARACIÓN Y MANTENIMIENTO DE EQUIPO DE TRANSPORTE</v>
      </c>
      <c r="J21" s="23">
        <f t="shared" si="2"/>
        <v>1</v>
      </c>
      <c r="K21" s="38">
        <v>25000</v>
      </c>
    </row>
    <row r="22" spans="1:11" s="22" customFormat="1" ht="30" customHeight="1" x14ac:dyDescent="0.25">
      <c r="A22" s="23"/>
      <c r="B22" s="23" t="s">
        <v>27</v>
      </c>
      <c r="C22" s="23" t="str">
        <f>+VLOOKUP(B22,[1]U.A!$B$3:$C$50,2,FALSE)</f>
        <v>Dirección de Planeación y Desarrollo Urbano</v>
      </c>
      <c r="D22" s="23" t="str">
        <f t="shared" si="1"/>
        <v>067</v>
      </c>
      <c r="E22" s="23" t="str">
        <f t="shared" si="0"/>
        <v xml:space="preserve">  CONTROL DEL DESARROLLO URBANO</v>
      </c>
      <c r="F22" s="23">
        <v>1101</v>
      </c>
      <c r="G22" s="23" t="str">
        <f>+VLOOKUP(F22,[1]F.F!$B$3:$C$7,2,FALSE)</f>
        <v>Recursos Fiscales 2026</v>
      </c>
      <c r="H22" s="23">
        <v>26101</v>
      </c>
      <c r="I22" s="23" t="str">
        <f>+VLOOKUP(H22,[1]COG!$B$3:$C$290,2,FALSE)</f>
        <v>COMBUSTIBLES, LUBRICANTES Y ADITIVOS</v>
      </c>
      <c r="J22" s="23">
        <f t="shared" si="2"/>
        <v>1</v>
      </c>
      <c r="K22" s="38">
        <v>50000</v>
      </c>
    </row>
    <row r="23" spans="1:11" s="22" customFormat="1" ht="30" customHeight="1" x14ac:dyDescent="0.25">
      <c r="A23" s="23"/>
      <c r="B23" s="23" t="s">
        <v>27</v>
      </c>
      <c r="C23" s="23" t="str">
        <f>+VLOOKUP(B23,[1]U.A!$B$3:$C$50,2,FALSE)</f>
        <v>Dirección de Planeación y Desarrollo Urbano</v>
      </c>
      <c r="D23" s="23" t="str">
        <f t="shared" si="1"/>
        <v>067</v>
      </c>
      <c r="E23" s="23" t="str">
        <f t="shared" si="0"/>
        <v xml:space="preserve">  CONTROL DEL DESARROLLO URBANO</v>
      </c>
      <c r="F23" s="23">
        <v>1101</v>
      </c>
      <c r="G23" s="23" t="str">
        <f>+VLOOKUP(F23,[1]F.F!$B$3:$C$7,2,FALSE)</f>
        <v>Recursos Fiscales 2026</v>
      </c>
      <c r="H23" s="23">
        <v>51901</v>
      </c>
      <c r="I23" s="23" t="str">
        <f>+VLOOKUP(H23,[1]COG!$B$3:$C$290,2,FALSE)</f>
        <v>OTROS MOBILIARIOS Y EQUIPOS DE ADMINISTRACIÓN</v>
      </c>
      <c r="J23" s="23">
        <f t="shared" si="2"/>
        <v>2</v>
      </c>
      <c r="K23" s="38">
        <v>80000</v>
      </c>
    </row>
    <row r="24" spans="1:11" s="22" customFormat="1" ht="30" customHeight="1" x14ac:dyDescent="0.25">
      <c r="A24" s="23"/>
      <c r="B24" s="23" t="s">
        <v>27</v>
      </c>
      <c r="C24" s="23" t="str">
        <f>+VLOOKUP(B24,[1]U.A!$B$3:$C$50,2,FALSE)</f>
        <v>Dirección de Planeación y Desarrollo Urbano</v>
      </c>
      <c r="D24" s="23" t="str">
        <f t="shared" si="1"/>
        <v>067</v>
      </c>
      <c r="E24" s="23" t="str">
        <f t="shared" si="0"/>
        <v xml:space="preserve">  CONTROL DEL DESARROLLO URBANO</v>
      </c>
      <c r="F24" s="23">
        <v>1101</v>
      </c>
      <c r="G24" s="23" t="str">
        <f>+VLOOKUP(F24,[1]F.F!$B$3:$C$7,2,FALSE)</f>
        <v>Recursos Fiscales 2026</v>
      </c>
      <c r="H24" s="23">
        <v>21101</v>
      </c>
      <c r="I24" s="23" t="str">
        <f>+VLOOKUP(H24,[1]COG!$B$3:$C$290,2,FALSE)</f>
        <v>MATERIALES, ÚTILES Y EQUIPOS MENORES DE OFICINA</v>
      </c>
      <c r="J24" s="23">
        <f t="shared" si="2"/>
        <v>1</v>
      </c>
      <c r="K24" s="38">
        <v>20000</v>
      </c>
    </row>
    <row r="25" spans="1:11" s="22" customFormat="1" ht="30" customHeight="1" x14ac:dyDescent="0.25">
      <c r="A25" s="23"/>
      <c r="B25" s="23" t="s">
        <v>27</v>
      </c>
      <c r="C25" s="23" t="str">
        <f>+VLOOKUP(B25,[1]U.A!$B$3:$C$50,2,FALSE)</f>
        <v>Dirección de Planeación y Desarrollo Urbano</v>
      </c>
      <c r="D25" s="23" t="str">
        <f t="shared" si="1"/>
        <v>067</v>
      </c>
      <c r="E25" s="23" t="str">
        <f t="shared" si="0"/>
        <v xml:space="preserve">  CONTROL DEL DESARROLLO URBANO</v>
      </c>
      <c r="F25" s="23">
        <v>1101</v>
      </c>
      <c r="G25" s="23" t="str">
        <f>+VLOOKUP(F25,[1]F.F!$B$3:$C$7,2,FALSE)</f>
        <v>Recursos Fiscales 2026</v>
      </c>
      <c r="H25" s="23">
        <v>51501</v>
      </c>
      <c r="I25" s="23" t="str">
        <f>+VLOOKUP(H25,[1]COG!$B$3:$C$290,2,FALSE)</f>
        <v>EQUIPO DE CÓMPUTO Y DE TECNOLOGÍAS DE LA INFORMACIÓN</v>
      </c>
      <c r="J25" s="23">
        <f t="shared" si="2"/>
        <v>2</v>
      </c>
      <c r="K25" s="38">
        <v>80000</v>
      </c>
    </row>
    <row r="26" spans="1:11" s="22" customFormat="1" ht="30" customHeight="1" x14ac:dyDescent="0.25">
      <c r="A26" s="23"/>
      <c r="B26" s="23" t="s">
        <v>27</v>
      </c>
      <c r="C26" s="23" t="str">
        <f>+VLOOKUP(B26,[1]U.A!$B$3:$C$50,2,FALSE)</f>
        <v>Dirección de Planeación y Desarrollo Urbano</v>
      </c>
      <c r="D26" s="23" t="str">
        <f t="shared" si="1"/>
        <v>067</v>
      </c>
      <c r="E26" s="23" t="str">
        <f t="shared" si="0"/>
        <v xml:space="preserve">  CONTROL DEL DESARROLLO URBANO</v>
      </c>
      <c r="F26" s="23">
        <v>1101</v>
      </c>
      <c r="G26" s="23" t="str">
        <f>+VLOOKUP(F26,[1]F.F!$B$3:$C$7,2,FALSE)</f>
        <v>Recursos Fiscales 2026</v>
      </c>
      <c r="H26" s="23">
        <v>22102</v>
      </c>
      <c r="I26" s="23" t="str">
        <f>+VLOOKUP(H26,[1]COG!$B$3:$C$290,2,FALSE)</f>
        <v>ALIMENTOS EN OFICINAS Y LUGARES DE TRABAJO</v>
      </c>
      <c r="J26" s="23">
        <f t="shared" si="2"/>
        <v>1</v>
      </c>
      <c r="K26" s="38">
        <v>15000</v>
      </c>
    </row>
    <row r="27" spans="1:11" s="22" customFormat="1" ht="30" customHeight="1" x14ac:dyDescent="0.25">
      <c r="A27" s="23"/>
      <c r="B27" s="23" t="s">
        <v>27</v>
      </c>
      <c r="C27" s="23" t="str">
        <f>+VLOOKUP(B27,[1]U.A!$B$3:$C$50,2,FALSE)</f>
        <v>Dirección de Planeación y Desarrollo Urbano</v>
      </c>
      <c r="D27" s="23" t="str">
        <f t="shared" si="1"/>
        <v>067</v>
      </c>
      <c r="E27" s="23" t="str">
        <f t="shared" si="0"/>
        <v xml:space="preserve">  CONTROL DEL DESARROLLO URBANO</v>
      </c>
      <c r="F27" s="23">
        <v>1101</v>
      </c>
      <c r="G27" s="23" t="str">
        <f>+VLOOKUP(F27,[1]F.F!$B$3:$C$7,2,FALSE)</f>
        <v>Recursos Fiscales 2026</v>
      </c>
      <c r="H27" s="23">
        <v>22103</v>
      </c>
      <c r="I27" s="23" t="str">
        <f>+VLOOKUP(H27,[1]COG!$B$3:$C$290,2,FALSE)</f>
        <v>ALIMENTOS EN EVENTOS OFICIALES</v>
      </c>
      <c r="J27" s="23">
        <f t="shared" si="2"/>
        <v>1</v>
      </c>
      <c r="K27" s="38">
        <v>35000</v>
      </c>
    </row>
    <row r="28" spans="1:11" s="22" customFormat="1" ht="30" customHeight="1" x14ac:dyDescent="0.25">
      <c r="A28" s="23"/>
      <c r="B28" s="23"/>
      <c r="C28" s="23"/>
      <c r="D28" s="23"/>
      <c r="E28" s="23"/>
      <c r="F28" s="23"/>
      <c r="G28" s="23"/>
      <c r="H28" s="23"/>
      <c r="I28" s="23"/>
      <c r="J28" s="23"/>
      <c r="K28" s="24"/>
    </row>
    <row r="29" spans="1:11" ht="21" x14ac:dyDescent="0.35">
      <c r="B29" s="39" t="s">
        <v>610</v>
      </c>
      <c r="C29" s="40"/>
      <c r="D29" s="40"/>
      <c r="E29" s="40"/>
      <c r="F29" s="40"/>
      <c r="G29" s="40"/>
      <c r="H29" s="40"/>
      <c r="I29" s="40"/>
      <c r="J29" s="40"/>
      <c r="K29" s="37">
        <f>SUM(K19:K28)</f>
        <v>700000</v>
      </c>
    </row>
    <row r="30" spans="1:11" ht="21" x14ac:dyDescent="0.35">
      <c r="B30" s="33"/>
      <c r="C30" s="33"/>
      <c r="D30" s="33"/>
      <c r="E30" s="33"/>
      <c r="F30" s="33"/>
      <c r="G30" s="33"/>
      <c r="H30" s="33"/>
      <c r="I30" s="33"/>
      <c r="J30" s="33"/>
      <c r="K30" s="33"/>
    </row>
    <row r="31" spans="1:11" x14ac:dyDescent="0.25">
      <c r="E31" s="60"/>
      <c r="F31" s="60"/>
      <c r="G31" s="60"/>
      <c r="H31" s="60"/>
    </row>
    <row r="32" spans="1:11" x14ac:dyDescent="0.25">
      <c r="E32" s="60"/>
      <c r="F32" s="60"/>
      <c r="G32" s="60"/>
      <c r="H32" s="60"/>
    </row>
    <row r="33" spans="4:8" x14ac:dyDescent="0.25">
      <c r="E33" s="60"/>
      <c r="F33" s="60"/>
      <c r="G33" s="60"/>
      <c r="H33" s="60"/>
    </row>
    <row r="34" spans="4:8" x14ac:dyDescent="0.25">
      <c r="E34" s="61" t="s">
        <v>617</v>
      </c>
      <c r="F34" s="61"/>
      <c r="G34" s="61"/>
      <c r="H34" s="61"/>
    </row>
    <row r="35" spans="4:8" ht="26.25" x14ac:dyDescent="0.4">
      <c r="E35" s="62" t="s">
        <v>613</v>
      </c>
      <c r="F35" s="62"/>
      <c r="G35" s="62"/>
      <c r="H35" s="62"/>
    </row>
    <row r="38" spans="4:8" ht="24" x14ac:dyDescent="0.4">
      <c r="D38" s="34" t="s">
        <v>614</v>
      </c>
      <c r="E38" s="35"/>
      <c r="F38" s="36"/>
      <c r="G38" s="58">
        <v>57369</v>
      </c>
      <c r="H38" s="59"/>
    </row>
  </sheetData>
  <mergeCells count="21">
    <mergeCell ref="G38:H38"/>
    <mergeCell ref="E31:H31"/>
    <mergeCell ref="E32:H32"/>
    <mergeCell ref="E33:H33"/>
    <mergeCell ref="E34:H34"/>
    <mergeCell ref="E35:H35"/>
    <mergeCell ref="B29:J29"/>
    <mergeCell ref="B1:K1"/>
    <mergeCell ref="B2:K2"/>
    <mergeCell ref="B13:C13"/>
    <mergeCell ref="J13:K13"/>
    <mergeCell ref="F13:G13"/>
    <mergeCell ref="B4:B5"/>
    <mergeCell ref="C4:K5"/>
    <mergeCell ref="B7:B8"/>
    <mergeCell ref="C7:K8"/>
    <mergeCell ref="B11:K11"/>
    <mergeCell ref="F12:G12"/>
    <mergeCell ref="D13:E13"/>
    <mergeCell ref="H13:I13"/>
    <mergeCell ref="B12:C12"/>
  </mergeCells>
  <conditionalFormatting sqref="F13:G13">
    <cfRule type="expression" dxfId="1" priority="9">
      <formula>+$F$13&lt;$K$29</formula>
    </cfRule>
    <cfRule type="expression" dxfId="0" priority="10">
      <formula>+$F$13&gt;$K$29</formula>
    </cfRule>
  </conditionalFormatting>
  <pageMargins left="0.7" right="0.7" top="0.75" bottom="0.75" header="0.3" footer="0.3"/>
  <pageSetup paperSize="9" scale="60" orientation="landscape" horizontalDpi="0"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02B2057-D4B8-4A2E-BBBE-13595EF2CD89}">
          <x14:formula1>
            <xm:f>CONDICIONES!$C$4:$C$4</xm:f>
          </x14:formula1>
          <xm:sqref>E12</xm:sqref>
        </x14:dataValidation>
        <x14:dataValidation type="list" allowBlank="1" showInputMessage="1" showErrorMessage="1" xr:uid="{74DC3248-251B-4EAE-B048-EEF53DDF67B5}">
          <x14:formula1>
            <xm:f>COG!$B$3:$B$290</xm:f>
          </x14:formula1>
          <xm:sqref>H19:H28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F668-51F5-4876-BED6-4DAA48FBB797}">
  <sheetPr codeName="Hoja2"/>
  <dimension ref="B2:I49"/>
  <sheetViews>
    <sheetView workbookViewId="0">
      <selection activeCell="B29" sqref="B29"/>
    </sheetView>
  </sheetViews>
  <sheetFormatPr baseColWidth="10" defaultColWidth="11.42578125" defaultRowHeight="15" x14ac:dyDescent="0.25"/>
  <cols>
    <col min="2" max="2" width="7.85546875" customWidth="1"/>
    <col min="3" max="3" width="51.85546875" bestFit="1" customWidth="1"/>
    <col min="4" max="4" width="41.85546875" customWidth="1"/>
    <col min="5" max="5" width="6.5703125" customWidth="1"/>
    <col min="6" max="6" width="9.140625" customWidth="1"/>
    <col min="7" max="7" width="5.28515625" customWidth="1"/>
    <col min="8" max="9" width="3.85546875" customWidth="1"/>
  </cols>
  <sheetData>
    <row r="2" spans="2:9" x14ac:dyDescent="0.25">
      <c r="B2" t="s">
        <v>49</v>
      </c>
      <c r="C2" t="s">
        <v>50</v>
      </c>
    </row>
    <row r="3" spans="2:9" ht="17.100000000000001" customHeight="1" x14ac:dyDescent="0.25">
      <c r="B3" s="29" t="s">
        <v>0</v>
      </c>
      <c r="C3" s="1" t="s">
        <v>544</v>
      </c>
      <c r="D3" s="1"/>
      <c r="E3" s="1"/>
      <c r="F3" s="1"/>
      <c r="G3" s="2" t="s">
        <v>1</v>
      </c>
      <c r="H3" s="2"/>
      <c r="I3" s="2"/>
    </row>
    <row r="4" spans="2:9" ht="17.100000000000001" customHeight="1" x14ac:dyDescent="0.25">
      <c r="B4" s="29" t="s">
        <v>2</v>
      </c>
      <c r="C4" s="1" t="s">
        <v>545</v>
      </c>
      <c r="D4" s="1"/>
      <c r="E4" s="1"/>
      <c r="F4" s="1"/>
      <c r="G4" s="2"/>
      <c r="H4" s="2"/>
      <c r="I4" s="2"/>
    </row>
    <row r="5" spans="2:9" ht="17.100000000000001" customHeight="1" x14ac:dyDescent="0.25">
      <c r="B5" s="29" t="s">
        <v>3</v>
      </c>
      <c r="C5" s="1" t="s">
        <v>546</v>
      </c>
      <c r="D5" s="1"/>
      <c r="E5" s="1"/>
      <c r="F5" s="1"/>
      <c r="G5" s="2"/>
      <c r="H5" s="2"/>
      <c r="I5" s="2"/>
    </row>
    <row r="6" spans="2:9" ht="17.100000000000001" customHeight="1" x14ac:dyDescent="0.25">
      <c r="B6" s="29" t="s">
        <v>4</v>
      </c>
      <c r="C6" s="1" t="s">
        <v>547</v>
      </c>
      <c r="D6" s="1"/>
      <c r="E6" s="1"/>
      <c r="F6" s="1"/>
      <c r="G6" s="2"/>
      <c r="H6" s="2"/>
      <c r="I6" s="2"/>
    </row>
    <row r="7" spans="2:9" ht="17.100000000000001" customHeight="1" x14ac:dyDescent="0.25">
      <c r="B7" s="30" t="s">
        <v>5</v>
      </c>
      <c r="C7" s="1" t="s">
        <v>548</v>
      </c>
      <c r="D7" s="1"/>
      <c r="E7" s="1"/>
      <c r="F7" s="1"/>
      <c r="G7" s="2"/>
      <c r="H7" s="2"/>
      <c r="I7" s="2"/>
    </row>
    <row r="8" spans="2:9" ht="17.100000000000001" customHeight="1" x14ac:dyDescent="0.25">
      <c r="B8" s="29" t="s">
        <v>6</v>
      </c>
      <c r="C8" s="1" t="s">
        <v>549</v>
      </c>
      <c r="D8" s="1"/>
      <c r="E8" s="1"/>
      <c r="F8" s="1"/>
      <c r="G8" s="2"/>
      <c r="H8" s="2"/>
      <c r="I8" s="2"/>
    </row>
    <row r="9" spans="2:9" ht="17.100000000000001" customHeight="1" x14ac:dyDescent="0.25">
      <c r="B9" s="29" t="s">
        <v>7</v>
      </c>
      <c r="C9" s="1" t="s">
        <v>550</v>
      </c>
      <c r="D9" s="1"/>
      <c r="E9" s="1"/>
      <c r="F9" s="1"/>
      <c r="G9" s="2"/>
      <c r="H9" s="2"/>
      <c r="I9" s="2"/>
    </row>
    <row r="10" spans="2:9" ht="17.100000000000001" customHeight="1" x14ac:dyDescent="0.25">
      <c r="B10" s="29" t="s">
        <v>8</v>
      </c>
      <c r="C10" s="1" t="s">
        <v>551</v>
      </c>
      <c r="D10" s="1"/>
      <c r="E10" s="1"/>
      <c r="F10" s="1"/>
      <c r="G10" s="2"/>
      <c r="H10" s="2"/>
      <c r="I10" s="2"/>
    </row>
    <row r="11" spans="2:9" ht="17.100000000000001" customHeight="1" x14ac:dyDescent="0.25">
      <c r="B11" s="29" t="s">
        <v>9</v>
      </c>
      <c r="C11" s="1" t="s">
        <v>552</v>
      </c>
      <c r="D11" s="1"/>
      <c r="E11" s="1"/>
      <c r="F11" s="1"/>
      <c r="G11" s="2"/>
      <c r="H11" s="2"/>
      <c r="I11" s="2"/>
    </row>
    <row r="12" spans="2:9" ht="17.100000000000001" customHeight="1" x14ac:dyDescent="0.25">
      <c r="B12" s="30" t="s">
        <v>10</v>
      </c>
      <c r="C12" s="1" t="s">
        <v>553</v>
      </c>
      <c r="D12" s="1"/>
      <c r="E12" s="1"/>
      <c r="F12" s="1"/>
      <c r="G12" s="2"/>
      <c r="H12" s="2"/>
      <c r="I12" s="2"/>
    </row>
    <row r="13" spans="2:9" ht="17.100000000000001" customHeight="1" x14ac:dyDescent="0.25">
      <c r="B13" s="30" t="s">
        <v>11</v>
      </c>
      <c r="C13" s="1" t="s">
        <v>554</v>
      </c>
      <c r="D13" s="1"/>
      <c r="E13" s="1"/>
      <c r="F13" s="1"/>
      <c r="G13" s="2"/>
      <c r="H13" s="2"/>
      <c r="I13" s="2"/>
    </row>
    <row r="14" spans="2:9" ht="17.100000000000001" customHeight="1" x14ac:dyDescent="0.25">
      <c r="B14" s="30" t="s">
        <v>12</v>
      </c>
      <c r="C14" s="1" t="s">
        <v>555</v>
      </c>
      <c r="D14" s="1"/>
      <c r="E14" s="1"/>
      <c r="F14" s="1"/>
      <c r="G14" s="2"/>
      <c r="H14" s="2"/>
      <c r="I14" s="2"/>
    </row>
    <row r="15" spans="2:9" ht="17.100000000000001" customHeight="1" x14ac:dyDescent="0.25">
      <c r="B15" s="31" t="s">
        <v>13</v>
      </c>
      <c r="C15" s="1" t="s">
        <v>556</v>
      </c>
      <c r="D15" s="1"/>
      <c r="E15" s="1"/>
      <c r="F15" s="1"/>
      <c r="G15" s="2"/>
      <c r="H15" s="2"/>
      <c r="I15" s="2"/>
    </row>
    <row r="16" spans="2:9" ht="17.100000000000001" customHeight="1" x14ac:dyDescent="0.25">
      <c r="B16" s="30" t="s">
        <v>14</v>
      </c>
      <c r="C16" s="1" t="s">
        <v>557</v>
      </c>
      <c r="D16" s="1"/>
      <c r="E16" s="1"/>
      <c r="F16" s="1"/>
      <c r="G16" s="2"/>
      <c r="H16" s="2"/>
      <c r="I16" s="2"/>
    </row>
    <row r="17" spans="2:9" ht="17.100000000000001" customHeight="1" x14ac:dyDescent="0.25">
      <c r="B17" s="30" t="s">
        <v>15</v>
      </c>
      <c r="C17" s="1" t="s">
        <v>558</v>
      </c>
      <c r="D17" s="1"/>
      <c r="E17" s="1"/>
      <c r="F17" s="1"/>
      <c r="G17" s="2"/>
      <c r="H17" s="2"/>
      <c r="I17" s="2"/>
    </row>
    <row r="18" spans="2:9" ht="17.100000000000001" customHeight="1" x14ac:dyDescent="0.25">
      <c r="B18" s="30" t="s">
        <v>16</v>
      </c>
      <c r="C18" s="1" t="s">
        <v>559</v>
      </c>
      <c r="D18" s="1"/>
      <c r="E18" s="1"/>
      <c r="F18" s="1"/>
      <c r="G18" s="2"/>
      <c r="H18" s="2"/>
      <c r="I18" s="2"/>
    </row>
    <row r="19" spans="2:9" ht="17.100000000000001" customHeight="1" x14ac:dyDescent="0.25">
      <c r="B19" s="29" t="s">
        <v>17</v>
      </c>
      <c r="C19" s="1" t="s">
        <v>560</v>
      </c>
      <c r="D19" s="1"/>
      <c r="E19" s="1"/>
      <c r="F19" s="1"/>
      <c r="G19" s="2"/>
      <c r="H19" s="2"/>
      <c r="I19" s="2"/>
    </row>
    <row r="20" spans="2:9" ht="17.100000000000001" customHeight="1" x14ac:dyDescent="0.25">
      <c r="B20" s="30" t="s">
        <v>18</v>
      </c>
      <c r="C20" s="1" t="s">
        <v>561</v>
      </c>
      <c r="D20" s="1"/>
      <c r="E20" s="1"/>
      <c r="F20" s="1"/>
      <c r="G20" s="2"/>
      <c r="H20" s="2"/>
      <c r="I20" s="2"/>
    </row>
    <row r="21" spans="2:9" ht="17.100000000000001" customHeight="1" x14ac:dyDescent="0.25">
      <c r="B21" s="29" t="s">
        <v>19</v>
      </c>
      <c r="C21" s="1" t="s">
        <v>562</v>
      </c>
      <c r="D21" s="1"/>
      <c r="E21" s="1"/>
      <c r="F21" s="1"/>
      <c r="G21" s="2"/>
      <c r="H21" s="2"/>
      <c r="I21" s="2"/>
    </row>
    <row r="22" spans="2:9" ht="17.100000000000001" customHeight="1" x14ac:dyDescent="0.25">
      <c r="B22" s="30" t="s">
        <v>20</v>
      </c>
      <c r="C22" s="1" t="s">
        <v>563</v>
      </c>
      <c r="D22" s="1"/>
      <c r="E22" s="1"/>
      <c r="F22" s="1"/>
      <c r="G22" s="2"/>
      <c r="H22" s="2"/>
      <c r="I22" s="2"/>
    </row>
    <row r="23" spans="2:9" ht="17.100000000000001" customHeight="1" x14ac:dyDescent="0.25">
      <c r="B23" s="30" t="s">
        <v>21</v>
      </c>
      <c r="C23" s="1" t="s">
        <v>564</v>
      </c>
      <c r="D23" s="1"/>
      <c r="E23" s="1"/>
      <c r="F23" s="1"/>
      <c r="G23" s="2"/>
      <c r="H23" s="2"/>
      <c r="I23" s="2"/>
    </row>
    <row r="24" spans="2:9" ht="17.100000000000001" customHeight="1" x14ac:dyDescent="0.25">
      <c r="B24" s="30" t="s">
        <v>22</v>
      </c>
      <c r="C24" s="1" t="s">
        <v>565</v>
      </c>
      <c r="D24" s="1"/>
      <c r="E24" s="1"/>
      <c r="F24" s="1"/>
      <c r="G24" s="2"/>
      <c r="H24" s="2"/>
      <c r="I24" s="2"/>
    </row>
    <row r="25" spans="2:9" ht="17.100000000000001" customHeight="1" x14ac:dyDescent="0.25">
      <c r="B25" s="30" t="s">
        <v>23</v>
      </c>
      <c r="C25" s="1" t="s">
        <v>566</v>
      </c>
      <c r="D25" s="1"/>
      <c r="E25" s="1"/>
      <c r="F25" s="1"/>
      <c r="G25" s="2"/>
      <c r="H25" s="2"/>
      <c r="I25" s="2"/>
    </row>
    <row r="26" spans="2:9" ht="17.100000000000001" customHeight="1" x14ac:dyDescent="0.25">
      <c r="B26" s="30" t="s">
        <v>24</v>
      </c>
      <c r="C26" s="1" t="s">
        <v>567</v>
      </c>
      <c r="D26" s="1"/>
      <c r="E26" s="1"/>
      <c r="F26" s="1"/>
      <c r="G26" s="2"/>
      <c r="H26" s="2"/>
      <c r="I26" s="2"/>
    </row>
    <row r="27" spans="2:9" ht="17.100000000000001" customHeight="1" x14ac:dyDescent="0.25">
      <c r="B27" s="29" t="s">
        <v>25</v>
      </c>
      <c r="C27" s="1" t="s">
        <v>568</v>
      </c>
      <c r="D27" s="1"/>
      <c r="E27" s="1"/>
      <c r="F27" s="1"/>
      <c r="G27" s="2"/>
      <c r="H27" s="2"/>
      <c r="I27" s="2"/>
    </row>
    <row r="28" spans="2:9" ht="17.100000000000001" customHeight="1" x14ac:dyDescent="0.25">
      <c r="B28" s="29" t="s">
        <v>26</v>
      </c>
      <c r="C28" s="1" t="s">
        <v>569</v>
      </c>
      <c r="D28" s="1"/>
      <c r="E28" s="1"/>
      <c r="F28" s="1"/>
      <c r="G28" s="2"/>
      <c r="H28" s="2"/>
      <c r="I28" s="2"/>
    </row>
    <row r="29" spans="2:9" ht="17.100000000000001" customHeight="1" x14ac:dyDescent="0.25">
      <c r="B29" s="29" t="s">
        <v>27</v>
      </c>
      <c r="C29" s="1" t="s">
        <v>570</v>
      </c>
      <c r="D29" s="1"/>
      <c r="E29" s="1"/>
      <c r="F29" s="1"/>
      <c r="G29" s="2"/>
      <c r="H29" s="2"/>
      <c r="I29" s="2"/>
    </row>
    <row r="30" spans="2:9" ht="17.100000000000001" customHeight="1" x14ac:dyDescent="0.25">
      <c r="B30" s="1" t="s">
        <v>28</v>
      </c>
      <c r="C30" s="1" t="s">
        <v>571</v>
      </c>
      <c r="D30" s="1"/>
      <c r="E30" s="1"/>
      <c r="F30" s="1"/>
      <c r="G30" s="2"/>
      <c r="H30" s="2"/>
      <c r="I30" s="2"/>
    </row>
    <row r="31" spans="2:9" ht="17.100000000000001" customHeight="1" x14ac:dyDescent="0.25">
      <c r="B31" s="1" t="s">
        <v>29</v>
      </c>
      <c r="C31" s="1" t="s">
        <v>572</v>
      </c>
      <c r="D31" s="1"/>
      <c r="E31" s="1"/>
      <c r="F31" s="1"/>
      <c r="G31" s="2"/>
      <c r="H31" s="2"/>
      <c r="I31" s="2"/>
    </row>
    <row r="32" spans="2:9" ht="17.100000000000001" customHeight="1" x14ac:dyDescent="0.25">
      <c r="B32" s="1" t="s">
        <v>30</v>
      </c>
      <c r="C32" s="1" t="s">
        <v>573</v>
      </c>
      <c r="D32" s="1"/>
      <c r="E32" s="1"/>
      <c r="F32" s="1"/>
      <c r="G32" s="2"/>
      <c r="H32" s="2"/>
      <c r="I32" s="2"/>
    </row>
    <row r="33" spans="2:9" ht="17.100000000000001" customHeight="1" x14ac:dyDescent="0.25">
      <c r="B33" s="1" t="s">
        <v>31</v>
      </c>
      <c r="C33" s="1" t="s">
        <v>574</v>
      </c>
      <c r="D33" s="1"/>
      <c r="E33" s="1"/>
      <c r="F33" s="1"/>
      <c r="G33" s="2"/>
      <c r="H33" s="2"/>
      <c r="I33" s="2"/>
    </row>
    <row r="34" spans="2:9" ht="17.100000000000001" customHeight="1" x14ac:dyDescent="0.25">
      <c r="B34" s="1" t="s">
        <v>32</v>
      </c>
      <c r="C34" s="1" t="s">
        <v>575</v>
      </c>
      <c r="D34" s="1"/>
      <c r="E34" s="1"/>
      <c r="F34" s="1"/>
      <c r="G34" s="2"/>
      <c r="H34" s="2"/>
      <c r="I34" s="2"/>
    </row>
    <row r="35" spans="2:9" ht="17.100000000000001" customHeight="1" x14ac:dyDescent="0.25">
      <c r="B35" s="1" t="s">
        <v>33</v>
      </c>
      <c r="C35" s="1" t="s">
        <v>576</v>
      </c>
      <c r="D35" s="1"/>
      <c r="E35" s="1"/>
      <c r="F35" s="1"/>
      <c r="G35" s="2"/>
      <c r="H35" s="2"/>
      <c r="I35" s="2"/>
    </row>
    <row r="36" spans="2:9" ht="17.100000000000001" customHeight="1" x14ac:dyDescent="0.25">
      <c r="B36" s="1" t="s">
        <v>34</v>
      </c>
      <c r="C36" s="1" t="s">
        <v>577</v>
      </c>
      <c r="D36" s="1"/>
      <c r="E36" s="1"/>
      <c r="F36" s="1"/>
      <c r="G36" s="2"/>
      <c r="H36" s="2"/>
      <c r="I36" s="2"/>
    </row>
    <row r="37" spans="2:9" ht="17.100000000000001" customHeight="1" x14ac:dyDescent="0.25">
      <c r="B37" s="1" t="s">
        <v>35</v>
      </c>
      <c r="C37" s="1" t="s">
        <v>578</v>
      </c>
      <c r="D37" s="1"/>
      <c r="E37" s="1"/>
      <c r="F37" s="1"/>
      <c r="G37" s="2"/>
      <c r="H37" s="2"/>
      <c r="I37" s="2"/>
    </row>
    <row r="38" spans="2:9" ht="17.100000000000001" customHeight="1" x14ac:dyDescent="0.25">
      <c r="B38" s="1" t="s">
        <v>36</v>
      </c>
      <c r="C38" s="1" t="s">
        <v>579</v>
      </c>
      <c r="D38" s="1"/>
      <c r="E38" s="1"/>
      <c r="F38" s="1"/>
      <c r="G38" s="2" t="s">
        <v>1</v>
      </c>
      <c r="H38" s="2"/>
      <c r="I38" s="2"/>
    </row>
    <row r="39" spans="2:9" ht="17.100000000000001" customHeight="1" x14ac:dyDescent="0.25">
      <c r="B39" s="1" t="s">
        <v>37</v>
      </c>
      <c r="C39" s="1" t="s">
        <v>38</v>
      </c>
      <c r="D39" s="1"/>
      <c r="E39" s="1"/>
      <c r="F39" s="1"/>
      <c r="G39" s="2"/>
      <c r="H39" s="2"/>
      <c r="I39" s="2"/>
    </row>
    <row r="40" spans="2:9" ht="17.100000000000001" customHeight="1" x14ac:dyDescent="0.25">
      <c r="B40" s="1" t="s">
        <v>39</v>
      </c>
      <c r="C40" s="1" t="s">
        <v>580</v>
      </c>
      <c r="D40" s="1"/>
      <c r="E40" s="1"/>
      <c r="F40" s="1"/>
      <c r="G40" s="2"/>
      <c r="H40" s="2"/>
      <c r="I40" s="2"/>
    </row>
    <row r="41" spans="2:9" ht="17.100000000000001" customHeight="1" x14ac:dyDescent="0.25">
      <c r="B41" s="1" t="s">
        <v>40</v>
      </c>
      <c r="C41" s="1" t="s">
        <v>581</v>
      </c>
      <c r="D41" s="1"/>
      <c r="E41" s="1"/>
      <c r="F41" s="1"/>
      <c r="G41" s="2"/>
      <c r="H41" s="2"/>
      <c r="I41" s="2"/>
    </row>
    <row r="42" spans="2:9" ht="17.100000000000001" customHeight="1" x14ac:dyDescent="0.25">
      <c r="B42" s="1" t="s">
        <v>41</v>
      </c>
      <c r="C42" s="1" t="s">
        <v>582</v>
      </c>
      <c r="D42" s="1"/>
      <c r="E42" s="1"/>
      <c r="F42" s="1"/>
      <c r="G42" s="2"/>
      <c r="H42" s="2"/>
      <c r="I42" s="2"/>
    </row>
    <row r="43" spans="2:9" ht="17.100000000000001" customHeight="1" x14ac:dyDescent="0.25">
      <c r="B43" s="1" t="s">
        <v>42</v>
      </c>
      <c r="C43" s="1" t="s">
        <v>583</v>
      </c>
      <c r="D43" s="1"/>
      <c r="E43" s="1"/>
      <c r="F43" s="1"/>
      <c r="G43" s="2"/>
      <c r="H43" s="2"/>
      <c r="I43" s="2"/>
    </row>
    <row r="44" spans="2:9" ht="17.100000000000001" customHeight="1" x14ac:dyDescent="0.25">
      <c r="B44" s="1" t="s">
        <v>43</v>
      </c>
      <c r="C44" s="1" t="s">
        <v>584</v>
      </c>
      <c r="D44" s="1"/>
      <c r="E44" s="1"/>
      <c r="F44" s="1"/>
      <c r="G44" s="2"/>
      <c r="H44" s="2"/>
      <c r="I44" s="2"/>
    </row>
    <row r="45" spans="2:9" ht="17.100000000000001" customHeight="1" x14ac:dyDescent="0.25">
      <c r="B45" s="1" t="s">
        <v>44</v>
      </c>
      <c r="C45" s="1" t="s">
        <v>585</v>
      </c>
      <c r="D45" s="1"/>
      <c r="E45" s="1"/>
      <c r="F45" s="1"/>
      <c r="G45" s="2"/>
      <c r="H45" s="2"/>
      <c r="I45" s="2"/>
    </row>
    <row r="46" spans="2:9" ht="17.100000000000001" customHeight="1" x14ac:dyDescent="0.25">
      <c r="B46" s="1" t="s">
        <v>45</v>
      </c>
      <c r="C46" s="1" t="s">
        <v>586</v>
      </c>
      <c r="D46" s="1"/>
      <c r="E46" s="1"/>
      <c r="F46" s="1"/>
      <c r="G46" s="2"/>
      <c r="H46" s="2"/>
      <c r="I46" s="2"/>
    </row>
    <row r="47" spans="2:9" ht="17.100000000000001" customHeight="1" x14ac:dyDescent="0.25">
      <c r="B47" s="1" t="s">
        <v>46</v>
      </c>
      <c r="C47" s="1" t="s">
        <v>587</v>
      </c>
      <c r="D47" s="1"/>
      <c r="E47" s="1"/>
      <c r="F47" s="1"/>
      <c r="G47" s="2"/>
      <c r="H47" s="2"/>
      <c r="I47" s="2"/>
    </row>
    <row r="48" spans="2:9" ht="17.100000000000001" customHeight="1" x14ac:dyDescent="0.25">
      <c r="B48" s="1" t="s">
        <v>47</v>
      </c>
      <c r="C48" s="1" t="s">
        <v>588</v>
      </c>
      <c r="D48" s="1"/>
      <c r="E48" s="1"/>
      <c r="F48" s="1"/>
      <c r="G48" s="2"/>
      <c r="H48" s="2"/>
      <c r="I48" s="2"/>
    </row>
    <row r="49" spans="2:9" ht="17.100000000000001" customHeight="1" x14ac:dyDescent="0.25">
      <c r="B49" s="1" t="s">
        <v>48</v>
      </c>
      <c r="C49" s="1" t="s">
        <v>589</v>
      </c>
      <c r="D49" s="1"/>
      <c r="E49" s="1"/>
      <c r="F49" s="1"/>
      <c r="G49" s="2"/>
      <c r="H49" s="2"/>
      <c r="I4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117AF-D687-482C-B86C-92FE3179E5E4}">
  <sheetPr codeName="Hoja3"/>
  <dimension ref="B2:C7"/>
  <sheetViews>
    <sheetView workbookViewId="0">
      <selection activeCell="B7" sqref="B3:B7"/>
    </sheetView>
  </sheetViews>
  <sheetFormatPr baseColWidth="10" defaultColWidth="11.42578125" defaultRowHeight="15" x14ac:dyDescent="0.25"/>
  <cols>
    <col min="2" max="2" width="7.85546875" customWidth="1"/>
    <col min="3" max="3" width="15.7109375" customWidth="1"/>
  </cols>
  <sheetData>
    <row r="2" spans="2:3" x14ac:dyDescent="0.25">
      <c r="B2" t="s">
        <v>58</v>
      </c>
      <c r="C2" t="s">
        <v>50</v>
      </c>
    </row>
    <row r="3" spans="2:3" ht="22.5" x14ac:dyDescent="0.25">
      <c r="B3" s="11">
        <v>1101</v>
      </c>
      <c r="C3" s="5" t="s">
        <v>53</v>
      </c>
    </row>
    <row r="4" spans="2:3" ht="22.5" x14ac:dyDescent="0.25">
      <c r="B4" s="11">
        <v>1501</v>
      </c>
      <c r="C4" s="5" t="s">
        <v>54</v>
      </c>
    </row>
    <row r="5" spans="2:3" ht="22.5" x14ac:dyDescent="0.25">
      <c r="B5" s="11">
        <v>1701</v>
      </c>
      <c r="C5" s="5" t="s">
        <v>55</v>
      </c>
    </row>
    <row r="6" spans="2:3" ht="45" x14ac:dyDescent="0.25">
      <c r="B6" s="11">
        <v>2501</v>
      </c>
      <c r="C6" s="5" t="s">
        <v>56</v>
      </c>
    </row>
    <row r="7" spans="2:3" ht="45" x14ac:dyDescent="0.25">
      <c r="B7" s="11">
        <v>2502</v>
      </c>
      <c r="C7" s="5"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8B03-3C90-426E-8DCE-C359FB25B9DA}">
  <sheetPr codeName="Hoja4"/>
  <dimension ref="B2:J290"/>
  <sheetViews>
    <sheetView topLeftCell="A266" workbookViewId="0">
      <selection activeCell="C290" sqref="C290"/>
    </sheetView>
  </sheetViews>
  <sheetFormatPr baseColWidth="10" defaultColWidth="13.28515625" defaultRowHeight="15" x14ac:dyDescent="0.25"/>
  <cols>
    <col min="3" max="3" width="114.140625" bestFit="1" customWidth="1"/>
  </cols>
  <sheetData>
    <row r="2" spans="2:10" x14ac:dyDescent="0.25">
      <c r="B2" t="s">
        <v>339</v>
      </c>
      <c r="C2" t="s">
        <v>50</v>
      </c>
    </row>
    <row r="3" spans="2:10" ht="21.2" customHeight="1" x14ac:dyDescent="0.25">
      <c r="B3" s="6">
        <v>21101</v>
      </c>
      <c r="C3" s="6" t="s">
        <v>59</v>
      </c>
      <c r="D3" s="6"/>
      <c r="E3" s="7"/>
      <c r="F3" s="7"/>
      <c r="G3" s="7"/>
      <c r="H3" s="7"/>
      <c r="I3" s="7"/>
      <c r="J3" s="7"/>
    </row>
    <row r="4" spans="2:10" ht="21.2" customHeight="1" x14ac:dyDescent="0.25">
      <c r="B4" s="6">
        <v>21102</v>
      </c>
      <c r="C4" s="6" t="s">
        <v>60</v>
      </c>
      <c r="D4" s="6"/>
      <c r="E4" s="7"/>
      <c r="F4" s="7"/>
      <c r="G4" s="7"/>
      <c r="H4" s="7"/>
      <c r="I4" s="7"/>
      <c r="J4" s="7"/>
    </row>
    <row r="5" spans="2:10" ht="21.2" customHeight="1" x14ac:dyDescent="0.25">
      <c r="B5" s="6">
        <v>21201</v>
      </c>
      <c r="C5" s="6" t="s">
        <v>61</v>
      </c>
      <c r="D5" s="6"/>
      <c r="E5" s="7"/>
      <c r="F5" s="7"/>
      <c r="G5" s="7"/>
      <c r="H5" s="7"/>
      <c r="I5" s="7"/>
      <c r="J5" s="7"/>
    </row>
    <row r="6" spans="2:10" ht="21.2" customHeight="1" x14ac:dyDescent="0.25">
      <c r="B6" s="6">
        <v>21202</v>
      </c>
      <c r="C6" s="6" t="s">
        <v>62</v>
      </c>
      <c r="D6" s="6"/>
      <c r="E6" s="7"/>
      <c r="F6" s="7"/>
      <c r="G6" s="7"/>
      <c r="H6" s="7"/>
      <c r="I6" s="7"/>
      <c r="J6" s="7"/>
    </row>
    <row r="7" spans="2:10" ht="21.2" customHeight="1" x14ac:dyDescent="0.25">
      <c r="B7" s="6">
        <v>21301</v>
      </c>
      <c r="C7" s="6" t="s">
        <v>63</v>
      </c>
      <c r="D7" s="6"/>
      <c r="E7" s="7"/>
      <c r="F7" s="7"/>
      <c r="G7" s="7"/>
      <c r="H7" s="7"/>
      <c r="I7" s="7"/>
      <c r="J7" s="7"/>
    </row>
    <row r="8" spans="2:10" ht="21.2" customHeight="1" x14ac:dyDescent="0.25">
      <c r="B8" s="6">
        <v>21302</v>
      </c>
      <c r="C8" s="6" t="s">
        <v>64</v>
      </c>
      <c r="D8" s="6"/>
      <c r="E8" s="7"/>
      <c r="F8" s="7"/>
      <c r="G8" s="7"/>
      <c r="H8" s="7"/>
      <c r="I8" s="7"/>
      <c r="J8" s="7"/>
    </row>
    <row r="9" spans="2:10" ht="21.2" customHeight="1" x14ac:dyDescent="0.25">
      <c r="B9" s="6">
        <v>21401</v>
      </c>
      <c r="C9" s="6" t="s">
        <v>65</v>
      </c>
      <c r="D9" s="6"/>
      <c r="E9" s="7"/>
      <c r="F9" s="7"/>
      <c r="G9" s="7"/>
      <c r="H9" s="7"/>
      <c r="I9" s="7"/>
      <c r="J9" s="7"/>
    </row>
    <row r="10" spans="2:10" ht="21.2" customHeight="1" x14ac:dyDescent="0.25">
      <c r="B10" s="6">
        <v>21402</v>
      </c>
      <c r="C10" s="6" t="s">
        <v>66</v>
      </c>
      <c r="D10" s="6"/>
      <c r="E10" s="7"/>
      <c r="F10" s="7"/>
      <c r="G10" s="7"/>
      <c r="H10" s="7"/>
      <c r="I10" s="7"/>
      <c r="J10" s="7"/>
    </row>
    <row r="11" spans="2:10" ht="21.2" customHeight="1" x14ac:dyDescent="0.25">
      <c r="B11" s="6">
        <v>21501</v>
      </c>
      <c r="C11" s="6" t="s">
        <v>67</v>
      </c>
      <c r="D11" s="6"/>
      <c r="E11" s="7"/>
      <c r="F11" s="7"/>
      <c r="G11" s="7"/>
      <c r="H11" s="7"/>
      <c r="I11" s="7"/>
      <c r="J11" s="7"/>
    </row>
    <row r="12" spans="2:10" ht="21.2" customHeight="1" x14ac:dyDescent="0.25">
      <c r="B12" s="6">
        <v>21601</v>
      </c>
      <c r="C12" s="6" t="s">
        <v>68</v>
      </c>
      <c r="D12" s="6"/>
      <c r="E12" s="7"/>
      <c r="F12" s="7"/>
      <c r="G12" s="7"/>
      <c r="H12" s="7"/>
      <c r="I12" s="7"/>
      <c r="J12" s="7"/>
    </row>
    <row r="13" spans="2:10" ht="21.2" customHeight="1" x14ac:dyDescent="0.25">
      <c r="B13" s="6">
        <v>21701</v>
      </c>
      <c r="C13" s="6" t="s">
        <v>69</v>
      </c>
      <c r="D13" s="6"/>
      <c r="E13" s="7"/>
      <c r="F13" s="7"/>
      <c r="G13" s="7"/>
      <c r="H13" s="7"/>
      <c r="I13" s="7"/>
      <c r="J13" s="7"/>
    </row>
    <row r="14" spans="2:10" ht="21.2" customHeight="1" x14ac:dyDescent="0.25">
      <c r="B14" s="6">
        <v>21801</v>
      </c>
      <c r="C14" s="6" t="s">
        <v>70</v>
      </c>
      <c r="D14" s="6"/>
      <c r="E14" s="7"/>
      <c r="F14" s="7"/>
      <c r="G14" s="7"/>
      <c r="H14" s="7"/>
      <c r="I14" s="7"/>
      <c r="J14" s="7"/>
    </row>
    <row r="15" spans="2:10" ht="21.2" customHeight="1" x14ac:dyDescent="0.25">
      <c r="B15" s="6">
        <v>22101</v>
      </c>
      <c r="C15" s="6" t="s">
        <v>71</v>
      </c>
      <c r="D15" s="6"/>
      <c r="E15" s="7"/>
      <c r="F15" s="7"/>
      <c r="G15" s="7"/>
      <c r="H15" s="7"/>
      <c r="I15" s="7"/>
      <c r="J15" s="7"/>
    </row>
    <row r="16" spans="2:10" ht="21.2" customHeight="1" x14ac:dyDescent="0.25">
      <c r="B16" s="6">
        <v>22102</v>
      </c>
      <c r="C16" s="6" t="s">
        <v>72</v>
      </c>
      <c r="D16" s="6"/>
      <c r="E16" s="7"/>
      <c r="F16" s="7"/>
      <c r="G16" s="7"/>
      <c r="H16" s="7"/>
      <c r="I16" s="7"/>
      <c r="J16" s="7"/>
    </row>
    <row r="17" spans="2:10" ht="21.2" customHeight="1" x14ac:dyDescent="0.25">
      <c r="B17" s="6">
        <v>22103</v>
      </c>
      <c r="C17" s="6" t="s">
        <v>73</v>
      </c>
      <c r="D17" s="6"/>
      <c r="E17" s="7"/>
      <c r="F17" s="7"/>
      <c r="G17" s="7"/>
      <c r="H17" s="7"/>
      <c r="I17" s="7"/>
      <c r="J17" s="7"/>
    </row>
    <row r="18" spans="2:10" ht="21.2" customHeight="1" x14ac:dyDescent="0.25">
      <c r="B18" s="6">
        <v>22105</v>
      </c>
      <c r="C18" s="6" t="s">
        <v>74</v>
      </c>
      <c r="D18" s="6"/>
      <c r="E18" s="7"/>
      <c r="F18" s="7"/>
      <c r="G18" s="7"/>
      <c r="H18" s="7"/>
      <c r="I18" s="7"/>
      <c r="J18" s="7"/>
    </row>
    <row r="19" spans="2:10" ht="21.2" customHeight="1" x14ac:dyDescent="0.25">
      <c r="B19" s="6">
        <v>22201</v>
      </c>
      <c r="C19" s="6" t="s">
        <v>75</v>
      </c>
      <c r="D19" s="6"/>
      <c r="E19" s="7"/>
      <c r="F19" s="7"/>
      <c r="G19" s="7"/>
      <c r="H19" s="7"/>
      <c r="I19" s="7"/>
      <c r="J19" s="7"/>
    </row>
    <row r="20" spans="2:10" ht="21.2" customHeight="1" x14ac:dyDescent="0.25">
      <c r="B20" s="6">
        <v>22301</v>
      </c>
      <c r="C20" s="6" t="s">
        <v>76</v>
      </c>
      <c r="D20" s="6"/>
      <c r="E20" s="7"/>
      <c r="F20" s="7"/>
      <c r="G20" s="7"/>
      <c r="H20" s="7"/>
      <c r="I20" s="7"/>
      <c r="J20" s="7"/>
    </row>
    <row r="21" spans="2:10" ht="21.2" customHeight="1" x14ac:dyDescent="0.25">
      <c r="B21" s="6">
        <v>23101</v>
      </c>
      <c r="C21" s="6" t="s">
        <v>77</v>
      </c>
      <c r="D21" s="6"/>
      <c r="E21" s="7"/>
      <c r="F21" s="7"/>
      <c r="G21" s="7"/>
      <c r="H21" s="7"/>
      <c r="I21" s="7"/>
      <c r="J21" s="7"/>
    </row>
    <row r="22" spans="2:10" ht="21.2" customHeight="1" x14ac:dyDescent="0.25">
      <c r="B22" s="6">
        <v>23201</v>
      </c>
      <c r="C22" s="6" t="s">
        <v>78</v>
      </c>
      <c r="D22" s="6"/>
      <c r="E22" s="7"/>
      <c r="F22" s="7"/>
      <c r="G22" s="7"/>
      <c r="H22" s="7"/>
      <c r="I22" s="7"/>
      <c r="J22" s="7"/>
    </row>
    <row r="23" spans="2:10" ht="21.2" customHeight="1" x14ac:dyDescent="0.25">
      <c r="B23" s="6">
        <v>23301</v>
      </c>
      <c r="C23" s="6" t="s">
        <v>79</v>
      </c>
      <c r="D23" s="6"/>
      <c r="E23" s="7"/>
      <c r="F23" s="7"/>
      <c r="G23" s="7"/>
      <c r="H23" s="7"/>
      <c r="I23" s="7"/>
      <c r="J23" s="7"/>
    </row>
    <row r="24" spans="2:10" ht="21.2" customHeight="1" x14ac:dyDescent="0.25">
      <c r="B24" s="6">
        <v>23401</v>
      </c>
      <c r="C24" s="6" t="s">
        <v>80</v>
      </c>
      <c r="D24" s="6"/>
      <c r="E24" s="7"/>
      <c r="F24" s="7"/>
      <c r="G24" s="7"/>
      <c r="H24" s="7"/>
      <c r="I24" s="7"/>
      <c r="J24" s="7"/>
    </row>
    <row r="25" spans="2:10" ht="21.2" customHeight="1" x14ac:dyDescent="0.25">
      <c r="B25" s="6">
        <v>23501</v>
      </c>
      <c r="C25" s="6" t="s">
        <v>81</v>
      </c>
      <c r="D25" s="6"/>
      <c r="E25" s="7"/>
      <c r="F25" s="7"/>
      <c r="G25" s="7"/>
      <c r="H25" s="7"/>
      <c r="I25" s="7"/>
      <c r="J25" s="7"/>
    </row>
    <row r="26" spans="2:10" ht="21.2" customHeight="1" x14ac:dyDescent="0.25">
      <c r="B26" s="6">
        <v>23601</v>
      </c>
      <c r="C26" s="6" t="s">
        <v>82</v>
      </c>
      <c r="D26" s="6"/>
      <c r="E26" s="7"/>
      <c r="F26" s="7"/>
      <c r="G26" s="7"/>
      <c r="H26" s="7"/>
      <c r="I26" s="7"/>
      <c r="J26" s="7"/>
    </row>
    <row r="27" spans="2:10" ht="21.2" customHeight="1" x14ac:dyDescent="0.25">
      <c r="B27" s="6">
        <v>23701</v>
      </c>
      <c r="C27" s="6" t="s">
        <v>83</v>
      </c>
      <c r="D27" s="6"/>
      <c r="E27" s="7"/>
      <c r="F27" s="7"/>
      <c r="G27" s="7"/>
      <c r="H27" s="7"/>
      <c r="I27" s="7"/>
      <c r="J27" s="7"/>
    </row>
    <row r="28" spans="2:10" ht="20.45" customHeight="1" x14ac:dyDescent="0.25">
      <c r="B28" s="6">
        <v>23801</v>
      </c>
      <c r="C28" s="6" t="s">
        <v>84</v>
      </c>
      <c r="D28" s="6"/>
      <c r="E28" s="7"/>
      <c r="F28" s="7"/>
      <c r="G28" s="7"/>
      <c r="H28" s="7"/>
      <c r="I28" s="7"/>
      <c r="J28" s="7"/>
    </row>
    <row r="29" spans="2:10" ht="21.2" customHeight="1" x14ac:dyDescent="0.25">
      <c r="B29" s="6">
        <v>23901</v>
      </c>
      <c r="C29" s="6" t="s">
        <v>85</v>
      </c>
      <c r="D29" s="6"/>
      <c r="E29" s="7"/>
      <c r="F29" s="7"/>
      <c r="G29" s="7"/>
      <c r="H29" s="7"/>
      <c r="I29" s="7"/>
      <c r="J29" s="7"/>
    </row>
    <row r="30" spans="2:10" ht="21.2" customHeight="1" x14ac:dyDescent="0.25">
      <c r="B30" s="6">
        <v>24101</v>
      </c>
      <c r="C30" s="6" t="s">
        <v>86</v>
      </c>
      <c r="D30" s="6"/>
      <c r="E30" s="7"/>
      <c r="F30" s="7"/>
      <c r="G30" s="7"/>
      <c r="H30" s="7"/>
      <c r="I30" s="7"/>
      <c r="J30" s="7"/>
    </row>
    <row r="31" spans="2:10" ht="21.2" customHeight="1" x14ac:dyDescent="0.25">
      <c r="B31" s="6">
        <v>24201</v>
      </c>
      <c r="C31" s="6" t="s">
        <v>87</v>
      </c>
      <c r="D31" s="6"/>
      <c r="E31" s="7"/>
      <c r="F31" s="7"/>
      <c r="G31" s="7"/>
      <c r="H31" s="7"/>
      <c r="I31" s="7"/>
      <c r="J31" s="7"/>
    </row>
    <row r="32" spans="2:10" ht="21.2" customHeight="1" x14ac:dyDescent="0.25">
      <c r="B32" s="6">
        <v>24301</v>
      </c>
      <c r="C32" s="6" t="s">
        <v>88</v>
      </c>
      <c r="D32" s="6"/>
      <c r="E32" s="7"/>
      <c r="F32" s="7"/>
      <c r="G32" s="7"/>
      <c r="H32" s="7"/>
      <c r="I32" s="7"/>
      <c r="J32" s="7"/>
    </row>
    <row r="33" spans="2:10" ht="21.2" customHeight="1" x14ac:dyDescent="0.25">
      <c r="B33" s="6">
        <v>24401</v>
      </c>
      <c r="C33" s="6" t="s">
        <v>89</v>
      </c>
      <c r="D33" s="6"/>
      <c r="E33" s="7"/>
      <c r="F33" s="7"/>
      <c r="G33" s="7"/>
      <c r="H33" s="7"/>
      <c r="I33" s="7"/>
      <c r="J33" s="7"/>
    </row>
    <row r="34" spans="2:10" ht="21.2" customHeight="1" x14ac:dyDescent="0.25">
      <c r="B34" s="6">
        <v>24501</v>
      </c>
      <c r="C34" s="6" t="s">
        <v>90</v>
      </c>
      <c r="D34" s="6"/>
      <c r="E34" s="7"/>
      <c r="F34" s="7"/>
      <c r="G34" s="7"/>
      <c r="H34" s="7"/>
      <c r="I34" s="7"/>
      <c r="J34" s="7"/>
    </row>
    <row r="35" spans="2:10" ht="21.2" customHeight="1" x14ac:dyDescent="0.25">
      <c r="B35" s="6">
        <v>24601</v>
      </c>
      <c r="C35" s="6" t="s">
        <v>91</v>
      </c>
      <c r="D35" s="6"/>
      <c r="E35" s="7"/>
      <c r="F35" s="7"/>
      <c r="G35" s="7"/>
      <c r="H35" s="7"/>
      <c r="I35" s="7"/>
      <c r="J35" s="7"/>
    </row>
    <row r="36" spans="2:10" ht="21.2" customHeight="1" x14ac:dyDescent="0.25">
      <c r="B36" s="6">
        <v>24701</v>
      </c>
      <c r="C36" s="6" t="s">
        <v>92</v>
      </c>
      <c r="D36" s="6"/>
      <c r="E36" s="7"/>
      <c r="F36" s="7"/>
      <c r="G36" s="7"/>
      <c r="H36" s="7"/>
      <c r="I36" s="7"/>
      <c r="J36" s="7"/>
    </row>
    <row r="37" spans="2:10" ht="21.2" customHeight="1" x14ac:dyDescent="0.25">
      <c r="B37" s="6">
        <v>24801</v>
      </c>
      <c r="C37" s="6" t="s">
        <v>93</v>
      </c>
      <c r="D37" s="6"/>
      <c r="E37" s="7"/>
      <c r="F37" s="7"/>
      <c r="G37" s="7"/>
      <c r="H37" s="7"/>
      <c r="I37" s="7"/>
      <c r="J37" s="7"/>
    </row>
    <row r="38" spans="2:10" ht="21.2" customHeight="1" x14ac:dyDescent="0.25">
      <c r="B38" s="6">
        <v>24802</v>
      </c>
      <c r="C38" s="6" t="s">
        <v>94</v>
      </c>
      <c r="D38" s="6"/>
      <c r="E38" s="7"/>
      <c r="F38" s="7"/>
      <c r="G38" s="7"/>
      <c r="H38" s="7"/>
      <c r="I38" s="7"/>
      <c r="J38" s="7"/>
    </row>
    <row r="39" spans="2:10" ht="21.2" customHeight="1" x14ac:dyDescent="0.25">
      <c r="B39" s="6">
        <v>24803</v>
      </c>
      <c r="C39" s="6" t="s">
        <v>95</v>
      </c>
      <c r="D39" s="6"/>
      <c r="E39" s="7"/>
      <c r="F39" s="7"/>
      <c r="G39" s="7"/>
      <c r="H39" s="7"/>
      <c r="I39" s="7"/>
      <c r="J39" s="7"/>
    </row>
    <row r="40" spans="2:10" ht="21.2" customHeight="1" x14ac:dyDescent="0.25">
      <c r="B40" s="6">
        <v>24901</v>
      </c>
      <c r="C40" s="6" t="s">
        <v>96</v>
      </c>
      <c r="D40" s="6"/>
      <c r="E40" s="7"/>
      <c r="F40" s="7"/>
      <c r="G40" s="7"/>
      <c r="H40" s="7"/>
      <c r="I40" s="7"/>
      <c r="J40" s="7"/>
    </row>
    <row r="41" spans="2:10" ht="21.2" customHeight="1" x14ac:dyDescent="0.25">
      <c r="B41" s="6">
        <v>25101</v>
      </c>
      <c r="C41" s="6" t="s">
        <v>97</v>
      </c>
      <c r="D41" s="6"/>
      <c r="E41" s="7"/>
      <c r="F41" s="7"/>
      <c r="G41" s="7"/>
      <c r="H41" s="7"/>
      <c r="I41" s="7"/>
      <c r="J41" s="7"/>
    </row>
    <row r="42" spans="2:10" ht="20.45" customHeight="1" x14ac:dyDescent="0.25">
      <c r="B42" s="6">
        <v>25201</v>
      </c>
      <c r="C42" s="6" t="s">
        <v>98</v>
      </c>
      <c r="D42" s="6"/>
      <c r="E42" s="7"/>
      <c r="F42" s="7" t="s">
        <v>1</v>
      </c>
      <c r="G42" s="7"/>
      <c r="H42" s="7"/>
      <c r="I42" s="7"/>
      <c r="J42" s="7"/>
    </row>
    <row r="43" spans="2:10" ht="21" hidden="1" customHeight="1" x14ac:dyDescent="0.25">
      <c r="B43" s="6">
        <v>25301</v>
      </c>
      <c r="C43" s="6" t="s">
        <v>99</v>
      </c>
      <c r="D43" s="6"/>
      <c r="E43" s="7"/>
      <c r="F43" s="7"/>
      <c r="G43" s="7"/>
      <c r="H43" s="7"/>
      <c r="I43" s="7"/>
      <c r="J43" s="7"/>
    </row>
    <row r="44" spans="2:10" ht="21.2" customHeight="1" x14ac:dyDescent="0.25">
      <c r="B44" s="6">
        <v>25401</v>
      </c>
      <c r="C44" s="6" t="s">
        <v>100</v>
      </c>
      <c r="D44" s="6"/>
      <c r="E44" s="7"/>
      <c r="F44" s="7"/>
      <c r="G44" s="7"/>
      <c r="H44" s="7"/>
      <c r="I44" s="7"/>
      <c r="J44" s="7"/>
    </row>
    <row r="45" spans="2:10" ht="21.2" customHeight="1" x14ac:dyDescent="0.25">
      <c r="B45" s="6">
        <v>25501</v>
      </c>
      <c r="C45" s="6" t="s">
        <v>101</v>
      </c>
      <c r="D45" s="6"/>
      <c r="E45" s="7"/>
      <c r="F45" s="7"/>
      <c r="G45" s="7"/>
      <c r="H45" s="7"/>
      <c r="I45" s="7"/>
      <c r="J45" s="7"/>
    </row>
    <row r="46" spans="2:10" ht="21.2" customHeight="1" x14ac:dyDescent="0.25">
      <c r="B46" s="6">
        <v>25601</v>
      </c>
      <c r="C46" s="6" t="s">
        <v>102</v>
      </c>
      <c r="D46" s="6"/>
      <c r="E46" s="7"/>
      <c r="F46" s="7"/>
      <c r="G46" s="7"/>
      <c r="H46" s="7"/>
      <c r="I46" s="7"/>
      <c r="J46" s="7"/>
    </row>
    <row r="47" spans="2:10" ht="21.2" customHeight="1" x14ac:dyDescent="0.25">
      <c r="B47" s="6">
        <v>25901</v>
      </c>
      <c r="C47" s="6" t="s">
        <v>103</v>
      </c>
      <c r="D47" s="6"/>
      <c r="E47" s="7"/>
      <c r="F47" s="7"/>
      <c r="G47" s="7"/>
      <c r="H47" s="7"/>
      <c r="I47" s="7"/>
      <c r="J47" s="7"/>
    </row>
    <row r="48" spans="2:10" ht="21.2" customHeight="1" x14ac:dyDescent="0.25">
      <c r="B48" s="6">
        <v>26101</v>
      </c>
      <c r="C48" s="6" t="s">
        <v>104</v>
      </c>
      <c r="D48" s="6"/>
      <c r="E48" s="7"/>
      <c r="F48" s="7"/>
      <c r="G48" s="7"/>
      <c r="H48" s="7"/>
      <c r="I48" s="7"/>
      <c r="J48" s="7"/>
    </row>
    <row r="49" spans="2:10" ht="21.2" customHeight="1" x14ac:dyDescent="0.25">
      <c r="B49" s="6">
        <v>26104</v>
      </c>
      <c r="C49" s="6" t="s">
        <v>105</v>
      </c>
      <c r="D49" s="6"/>
      <c r="E49" s="7"/>
      <c r="F49" s="7"/>
      <c r="G49" s="7"/>
      <c r="H49" s="7"/>
      <c r="I49" s="7"/>
      <c r="J49" s="7"/>
    </row>
    <row r="50" spans="2:10" ht="21.2" customHeight="1" x14ac:dyDescent="0.25">
      <c r="B50" s="6">
        <v>26201</v>
      </c>
      <c r="C50" s="6" t="s">
        <v>106</v>
      </c>
      <c r="D50" s="6"/>
      <c r="E50" s="7"/>
      <c r="F50" s="7"/>
      <c r="G50" s="7"/>
      <c r="H50" s="7"/>
      <c r="I50" s="7"/>
      <c r="J50" s="7"/>
    </row>
    <row r="51" spans="2:10" ht="21.2" customHeight="1" x14ac:dyDescent="0.25">
      <c r="B51" s="6">
        <v>27101</v>
      </c>
      <c r="C51" s="6" t="s">
        <v>107</v>
      </c>
      <c r="D51" s="6"/>
      <c r="E51" s="7"/>
      <c r="F51" s="7"/>
      <c r="G51" s="7"/>
      <c r="H51" s="7"/>
      <c r="I51" s="7"/>
      <c r="J51" s="7"/>
    </row>
    <row r="52" spans="2:10" ht="21.2" customHeight="1" x14ac:dyDescent="0.25">
      <c r="B52" s="6">
        <v>27201</v>
      </c>
      <c r="C52" s="6" t="s">
        <v>108</v>
      </c>
      <c r="D52" s="6"/>
      <c r="E52" s="7"/>
      <c r="F52" s="7"/>
      <c r="G52" s="7"/>
      <c r="H52" s="7"/>
      <c r="I52" s="7"/>
      <c r="J52" s="7"/>
    </row>
    <row r="53" spans="2:10" ht="21.2" customHeight="1" x14ac:dyDescent="0.25">
      <c r="B53" s="6">
        <v>27301</v>
      </c>
      <c r="C53" s="6" t="s">
        <v>109</v>
      </c>
      <c r="D53" s="6"/>
      <c r="E53" s="7"/>
      <c r="F53" s="7"/>
      <c r="G53" s="7"/>
      <c r="H53" s="7"/>
      <c r="I53" s="7"/>
      <c r="J53" s="7"/>
    </row>
    <row r="54" spans="2:10" ht="21.2" customHeight="1" x14ac:dyDescent="0.25">
      <c r="B54" s="6">
        <v>27401</v>
      </c>
      <c r="C54" s="6" t="s">
        <v>110</v>
      </c>
      <c r="D54" s="6"/>
      <c r="E54" s="7"/>
      <c r="F54" s="7"/>
      <c r="G54" s="7"/>
      <c r="H54" s="7"/>
      <c r="I54" s="7"/>
      <c r="J54" s="7"/>
    </row>
    <row r="55" spans="2:10" ht="21.2" customHeight="1" x14ac:dyDescent="0.25">
      <c r="B55" s="6">
        <v>27501</v>
      </c>
      <c r="C55" s="6" t="s">
        <v>111</v>
      </c>
      <c r="D55" s="6"/>
      <c r="E55" s="7"/>
      <c r="F55" s="7"/>
      <c r="G55" s="7"/>
      <c r="H55" s="7"/>
      <c r="I55" s="7"/>
      <c r="J55" s="7"/>
    </row>
    <row r="56" spans="2:10" ht="21.2" customHeight="1" x14ac:dyDescent="0.25">
      <c r="B56" s="6">
        <v>28101</v>
      </c>
      <c r="C56" s="6" t="s">
        <v>112</v>
      </c>
      <c r="D56" s="6"/>
      <c r="E56" s="7"/>
      <c r="F56" s="7"/>
      <c r="G56" s="7"/>
      <c r="H56" s="7"/>
      <c r="I56" s="7"/>
      <c r="J56" s="7"/>
    </row>
    <row r="57" spans="2:10" ht="21.2" customHeight="1" x14ac:dyDescent="0.25">
      <c r="B57" s="6">
        <v>28201</v>
      </c>
      <c r="C57" s="6" t="s">
        <v>113</v>
      </c>
      <c r="D57" s="6"/>
      <c r="E57" s="7"/>
      <c r="F57" s="7"/>
      <c r="G57" s="7"/>
      <c r="H57" s="7"/>
      <c r="I57" s="7"/>
      <c r="J57" s="7"/>
    </row>
    <row r="58" spans="2:10" ht="21.2" customHeight="1" x14ac:dyDescent="0.25">
      <c r="B58" s="6">
        <v>28301</v>
      </c>
      <c r="C58" s="6" t="s">
        <v>114</v>
      </c>
      <c r="D58" s="6"/>
      <c r="E58" s="7"/>
      <c r="F58" s="7"/>
      <c r="G58" s="7"/>
      <c r="H58" s="7"/>
      <c r="I58" s="7"/>
      <c r="J58" s="7"/>
    </row>
    <row r="59" spans="2:10" ht="21.2" customHeight="1" x14ac:dyDescent="0.25">
      <c r="B59" s="6">
        <v>29101</v>
      </c>
      <c r="C59" s="6" t="s">
        <v>115</v>
      </c>
      <c r="D59" s="6"/>
      <c r="E59" s="7"/>
      <c r="F59" s="7"/>
      <c r="G59" s="7"/>
      <c r="H59" s="7"/>
      <c r="I59" s="7"/>
      <c r="J59" s="7"/>
    </row>
    <row r="60" spans="2:10" ht="21.2" customHeight="1" x14ac:dyDescent="0.25">
      <c r="B60" s="6">
        <v>29201</v>
      </c>
      <c r="C60" s="6" t="s">
        <v>116</v>
      </c>
      <c r="D60" s="6"/>
      <c r="E60" s="7"/>
      <c r="F60" s="7"/>
      <c r="G60" s="7"/>
      <c r="H60" s="7"/>
      <c r="I60" s="7"/>
      <c r="J60" s="7"/>
    </row>
    <row r="61" spans="2:10" ht="21.2" customHeight="1" x14ac:dyDescent="0.25">
      <c r="B61" s="6">
        <v>29301</v>
      </c>
      <c r="C61" s="6" t="s">
        <v>117</v>
      </c>
      <c r="D61" s="6"/>
      <c r="E61" s="7"/>
      <c r="F61" s="7"/>
      <c r="G61" s="7"/>
      <c r="H61" s="7"/>
      <c r="I61" s="7"/>
      <c r="J61" s="7"/>
    </row>
    <row r="62" spans="2:10" ht="21.2" customHeight="1" x14ac:dyDescent="0.25">
      <c r="B62" s="6">
        <v>29401</v>
      </c>
      <c r="C62" s="6" t="s">
        <v>118</v>
      </c>
      <c r="D62" s="6"/>
      <c r="E62" s="7"/>
      <c r="F62" s="7"/>
      <c r="G62" s="7"/>
      <c r="H62" s="7"/>
      <c r="I62" s="7"/>
      <c r="J62" s="7"/>
    </row>
    <row r="63" spans="2:10" ht="21.2" customHeight="1" x14ac:dyDescent="0.25">
      <c r="B63" s="6">
        <v>29501</v>
      </c>
      <c r="C63" s="6" t="s">
        <v>119</v>
      </c>
      <c r="D63" s="6"/>
      <c r="E63" s="7"/>
      <c r="F63" s="7"/>
      <c r="G63" s="7"/>
      <c r="H63" s="7"/>
      <c r="I63" s="7"/>
      <c r="J63" s="7"/>
    </row>
    <row r="64" spans="2:10" ht="21.2" customHeight="1" x14ac:dyDescent="0.25">
      <c r="B64" s="6">
        <v>29601</v>
      </c>
      <c r="C64" s="6" t="s">
        <v>120</v>
      </c>
      <c r="D64" s="6"/>
      <c r="E64" s="7"/>
      <c r="F64" s="7"/>
      <c r="G64" s="7"/>
      <c r="H64" s="7"/>
      <c r="I64" s="7"/>
      <c r="J64" s="7"/>
    </row>
    <row r="65" spans="2:10" ht="21.2" customHeight="1" x14ac:dyDescent="0.25">
      <c r="B65" s="6">
        <v>29701</v>
      </c>
      <c r="C65" s="6" t="s">
        <v>121</v>
      </c>
      <c r="D65" s="6"/>
      <c r="E65" s="7"/>
      <c r="F65" s="7"/>
      <c r="G65" s="7"/>
      <c r="H65" s="7"/>
      <c r="I65" s="7"/>
      <c r="J65" s="7"/>
    </row>
    <row r="66" spans="2:10" ht="21.2" customHeight="1" x14ac:dyDescent="0.25">
      <c r="B66" s="6">
        <v>29801</v>
      </c>
      <c r="C66" s="6" t="s">
        <v>122</v>
      </c>
      <c r="D66" s="6"/>
      <c r="E66" s="7"/>
      <c r="F66" s="7"/>
      <c r="G66" s="7"/>
      <c r="H66" s="7"/>
      <c r="I66" s="7"/>
      <c r="J66" s="7"/>
    </row>
    <row r="67" spans="2:10" ht="21.2" customHeight="1" x14ac:dyDescent="0.25">
      <c r="B67" s="6">
        <v>29901</v>
      </c>
      <c r="C67" s="6" t="s">
        <v>123</v>
      </c>
      <c r="D67" s="6"/>
      <c r="E67" s="7"/>
      <c r="F67" s="7"/>
      <c r="G67" s="7"/>
      <c r="H67" s="7"/>
      <c r="I67" s="7"/>
      <c r="J67" s="7"/>
    </row>
    <row r="68" spans="2:10" ht="21.2" customHeight="1" x14ac:dyDescent="0.25">
      <c r="B68" s="6">
        <v>31101</v>
      </c>
      <c r="C68" s="6" t="s">
        <v>124</v>
      </c>
      <c r="D68" s="6"/>
      <c r="E68" s="7"/>
      <c r="F68" s="7"/>
      <c r="G68" s="7"/>
      <c r="H68" s="7"/>
      <c r="I68" s="7"/>
      <c r="J68" s="7"/>
    </row>
    <row r="69" spans="2:10" ht="21.2" customHeight="1" x14ac:dyDescent="0.25">
      <c r="B69" s="6">
        <v>31102</v>
      </c>
      <c r="C69" s="6" t="s">
        <v>125</v>
      </c>
      <c r="D69" s="6"/>
      <c r="E69" s="7"/>
      <c r="F69" s="7"/>
      <c r="G69" s="7"/>
      <c r="H69" s="7"/>
      <c r="I69" s="7"/>
      <c r="J69" s="7"/>
    </row>
    <row r="70" spans="2:10" ht="21.2" customHeight="1" x14ac:dyDescent="0.25">
      <c r="B70" s="6">
        <v>31201</v>
      </c>
      <c r="C70" s="6" t="s">
        <v>105</v>
      </c>
      <c r="D70" s="6"/>
      <c r="E70" s="7"/>
      <c r="F70" s="7"/>
      <c r="G70" s="7"/>
      <c r="H70" s="7"/>
      <c r="I70" s="7"/>
      <c r="J70" s="7"/>
    </row>
    <row r="71" spans="2:10" ht="21.2" customHeight="1" x14ac:dyDescent="0.25">
      <c r="B71" s="6">
        <v>31301</v>
      </c>
      <c r="C71" s="6" t="s">
        <v>126</v>
      </c>
      <c r="D71" s="6"/>
      <c r="E71" s="7"/>
      <c r="F71" s="7"/>
      <c r="G71" s="7"/>
      <c r="H71" s="7"/>
      <c r="I71" s="7"/>
      <c r="J71" s="7"/>
    </row>
    <row r="72" spans="2:10" ht="21.2" customHeight="1" x14ac:dyDescent="0.25">
      <c r="B72" s="6">
        <v>31401</v>
      </c>
      <c r="C72" s="6" t="s">
        <v>127</v>
      </c>
      <c r="D72" s="6"/>
      <c r="E72" s="7"/>
      <c r="F72" s="7"/>
      <c r="G72" s="7"/>
      <c r="H72" s="7"/>
      <c r="I72" s="7"/>
      <c r="J72" s="7"/>
    </row>
    <row r="73" spans="2:10" ht="21.2" customHeight="1" x14ac:dyDescent="0.25">
      <c r="B73" s="6">
        <v>31501</v>
      </c>
      <c r="C73" s="6" t="s">
        <v>128</v>
      </c>
      <c r="D73" s="6"/>
      <c r="E73" s="7"/>
      <c r="F73" s="7"/>
      <c r="G73" s="7"/>
      <c r="H73" s="7"/>
      <c r="I73" s="7"/>
      <c r="J73" s="7"/>
    </row>
    <row r="74" spans="2:10" ht="21.2" customHeight="1" x14ac:dyDescent="0.25">
      <c r="B74" s="6">
        <v>31601</v>
      </c>
      <c r="C74" s="6" t="s">
        <v>129</v>
      </c>
      <c r="D74" s="6"/>
      <c r="E74" s="7"/>
      <c r="F74" s="7"/>
      <c r="G74" s="7"/>
      <c r="H74" s="7"/>
      <c r="I74" s="7"/>
      <c r="J74" s="7"/>
    </row>
    <row r="75" spans="2:10" ht="21.2" customHeight="1" x14ac:dyDescent="0.25">
      <c r="B75" s="6">
        <v>31701</v>
      </c>
      <c r="C75" s="6" t="s">
        <v>130</v>
      </c>
      <c r="D75" s="6"/>
      <c r="E75" s="7"/>
      <c r="F75" s="7"/>
      <c r="G75" s="7"/>
      <c r="H75" s="7"/>
      <c r="I75" s="7"/>
      <c r="J75" s="7"/>
    </row>
    <row r="76" spans="2:10" ht="21.2" customHeight="1" x14ac:dyDescent="0.25">
      <c r="B76" s="6">
        <v>31801</v>
      </c>
      <c r="C76" s="6" t="s">
        <v>131</v>
      </c>
      <c r="D76" s="6"/>
      <c r="E76" s="7"/>
      <c r="F76" s="7"/>
      <c r="G76" s="7"/>
      <c r="H76" s="7"/>
      <c r="I76" s="7"/>
      <c r="J76" s="7"/>
    </row>
    <row r="77" spans="2:10" ht="21.2" customHeight="1" x14ac:dyDescent="0.25">
      <c r="B77" s="6">
        <v>31802</v>
      </c>
      <c r="C77" s="6" t="s">
        <v>132</v>
      </c>
      <c r="D77" s="6"/>
      <c r="E77" s="7"/>
      <c r="F77" s="7"/>
      <c r="G77" s="7"/>
      <c r="H77" s="7"/>
      <c r="I77" s="7"/>
      <c r="J77" s="7"/>
    </row>
    <row r="78" spans="2:10" ht="21.2" customHeight="1" x14ac:dyDescent="0.25">
      <c r="B78" s="6">
        <v>31901</v>
      </c>
      <c r="C78" s="6" t="s">
        <v>133</v>
      </c>
      <c r="D78" s="6"/>
      <c r="E78" s="7"/>
      <c r="F78" s="7"/>
      <c r="G78" s="7"/>
      <c r="H78" s="7"/>
      <c r="I78" s="7"/>
      <c r="J78" s="7"/>
    </row>
    <row r="79" spans="2:10" ht="21.2" customHeight="1" x14ac:dyDescent="0.25">
      <c r="B79" s="6">
        <v>32101</v>
      </c>
      <c r="C79" s="6" t="s">
        <v>134</v>
      </c>
      <c r="D79" s="6"/>
      <c r="E79" s="7"/>
      <c r="F79" s="7"/>
      <c r="G79" s="7"/>
      <c r="H79" s="7"/>
      <c r="I79" s="7"/>
      <c r="J79" s="7"/>
    </row>
    <row r="80" spans="2:10" ht="21.2" customHeight="1" x14ac:dyDescent="0.25">
      <c r="B80" s="6">
        <v>32201</v>
      </c>
      <c r="C80" s="6" t="s">
        <v>135</v>
      </c>
      <c r="D80" s="6"/>
      <c r="E80" s="7"/>
      <c r="F80" s="7"/>
      <c r="G80" s="7"/>
      <c r="H80" s="7"/>
      <c r="I80" s="7"/>
      <c r="J80" s="7"/>
    </row>
    <row r="81" spans="2:10" ht="21.2" customHeight="1" x14ac:dyDescent="0.25">
      <c r="B81" s="6">
        <v>32301</v>
      </c>
      <c r="C81" s="6" t="s">
        <v>136</v>
      </c>
      <c r="D81" s="6"/>
      <c r="E81" s="7"/>
      <c r="F81" s="7"/>
      <c r="G81" s="7"/>
      <c r="H81" s="7"/>
      <c r="I81" s="7"/>
      <c r="J81" s="7"/>
    </row>
    <row r="82" spans="2:10" ht="20.45" customHeight="1" x14ac:dyDescent="0.25">
      <c r="B82" s="6">
        <v>32401</v>
      </c>
      <c r="C82" s="6" t="s">
        <v>137</v>
      </c>
      <c r="D82" s="6"/>
      <c r="E82" s="7"/>
      <c r="F82" s="7"/>
      <c r="G82" s="7"/>
      <c r="H82" s="7"/>
      <c r="I82" s="7"/>
      <c r="J82" s="7"/>
    </row>
    <row r="83" spans="2:10" ht="21.2" customHeight="1" x14ac:dyDescent="0.25">
      <c r="B83" s="6">
        <v>32501</v>
      </c>
      <c r="C83" s="6" t="s">
        <v>138</v>
      </c>
      <c r="D83" s="6"/>
      <c r="E83" s="7"/>
      <c r="F83" s="7"/>
      <c r="G83" s="7"/>
      <c r="H83" s="7"/>
      <c r="I83" s="7"/>
      <c r="J83" s="7"/>
    </row>
    <row r="84" spans="2:10" ht="21.2" customHeight="1" x14ac:dyDescent="0.25">
      <c r="B84" s="6">
        <v>32601</v>
      </c>
      <c r="C84" s="6" t="s">
        <v>139</v>
      </c>
      <c r="D84" s="6"/>
      <c r="E84" s="7"/>
      <c r="F84" s="7"/>
      <c r="G84" s="7"/>
      <c r="H84" s="7"/>
      <c r="I84" s="7"/>
      <c r="J84" s="7"/>
    </row>
    <row r="85" spans="2:10" ht="21.2" customHeight="1" x14ac:dyDescent="0.25">
      <c r="B85" s="6">
        <v>32701</v>
      </c>
      <c r="C85" s="6" t="s">
        <v>140</v>
      </c>
      <c r="D85" s="6"/>
      <c r="E85" s="7"/>
      <c r="F85" s="7"/>
      <c r="G85" s="7"/>
      <c r="H85" s="7"/>
      <c r="I85" s="7"/>
      <c r="J85" s="7"/>
    </row>
    <row r="86" spans="2:10" ht="21.2" customHeight="1" x14ac:dyDescent="0.25">
      <c r="B86" s="6">
        <v>32801</v>
      </c>
      <c r="C86" s="6" t="s">
        <v>141</v>
      </c>
      <c r="D86" s="6"/>
      <c r="E86" s="7"/>
      <c r="F86" s="7"/>
      <c r="G86" s="7"/>
      <c r="H86" s="7"/>
      <c r="I86" s="7"/>
      <c r="J86" s="7"/>
    </row>
    <row r="87" spans="2:10" ht="21.2" customHeight="1" x14ac:dyDescent="0.25">
      <c r="B87" s="6">
        <v>32901</v>
      </c>
      <c r="C87" s="6" t="s">
        <v>142</v>
      </c>
      <c r="D87" s="6"/>
      <c r="E87" s="7"/>
      <c r="F87" s="7"/>
      <c r="G87" s="7"/>
      <c r="H87" s="7"/>
      <c r="I87" s="7"/>
      <c r="J87" s="7"/>
    </row>
    <row r="88" spans="2:10" ht="21.2" customHeight="1" x14ac:dyDescent="0.25">
      <c r="B88" s="6">
        <v>33101</v>
      </c>
      <c r="C88" s="6" t="s">
        <v>143</v>
      </c>
      <c r="D88" s="6"/>
      <c r="E88" s="7"/>
      <c r="F88" s="7"/>
      <c r="G88" s="7"/>
      <c r="H88" s="7"/>
      <c r="I88" s="7"/>
      <c r="J88" s="7"/>
    </row>
    <row r="89" spans="2:10" ht="21.2" customHeight="1" x14ac:dyDescent="0.25">
      <c r="B89" s="6">
        <v>33201</v>
      </c>
      <c r="C89" s="6" t="s">
        <v>144</v>
      </c>
      <c r="D89" s="6"/>
      <c r="E89" s="7"/>
      <c r="F89" s="7"/>
      <c r="G89" s="7"/>
      <c r="H89" s="7"/>
      <c r="I89" s="7"/>
      <c r="J89" s="7"/>
    </row>
    <row r="90" spans="2:10" ht="21.2" customHeight="1" x14ac:dyDescent="0.25">
      <c r="B90" s="6">
        <v>33301</v>
      </c>
      <c r="C90" s="6" t="s">
        <v>145</v>
      </c>
      <c r="D90" s="6"/>
      <c r="E90" s="7"/>
      <c r="F90" s="7"/>
      <c r="G90" s="7"/>
      <c r="H90" s="7"/>
      <c r="I90" s="7"/>
      <c r="J90" s="7"/>
    </row>
    <row r="91" spans="2:10" ht="21.2" customHeight="1" x14ac:dyDescent="0.25">
      <c r="B91" s="6">
        <v>33401</v>
      </c>
      <c r="C91" s="6" t="s">
        <v>146</v>
      </c>
      <c r="D91" s="6"/>
      <c r="E91" s="7"/>
      <c r="F91" s="7"/>
      <c r="G91" s="7"/>
      <c r="H91" s="7"/>
      <c r="I91" s="7"/>
      <c r="J91" s="7"/>
    </row>
    <row r="92" spans="2:10" ht="21.2" customHeight="1" x14ac:dyDescent="0.25">
      <c r="B92" s="6">
        <v>33501</v>
      </c>
      <c r="C92" s="6" t="s">
        <v>147</v>
      </c>
      <c r="D92" s="6"/>
      <c r="E92" s="7"/>
      <c r="F92" s="7"/>
      <c r="G92" s="7"/>
      <c r="H92" s="7"/>
      <c r="I92" s="7"/>
      <c r="J92" s="7"/>
    </row>
    <row r="93" spans="2:10" ht="21.2" customHeight="1" x14ac:dyDescent="0.25">
      <c r="B93" s="6">
        <v>33601</v>
      </c>
      <c r="C93" s="6" t="s">
        <v>148</v>
      </c>
      <c r="D93" s="6"/>
      <c r="E93" s="7"/>
      <c r="F93" s="7"/>
      <c r="G93" s="7"/>
      <c r="H93" s="7"/>
      <c r="I93" s="7"/>
      <c r="J93" s="7"/>
    </row>
    <row r="94" spans="2:10" ht="21.2" customHeight="1" x14ac:dyDescent="0.25">
      <c r="B94" s="6">
        <v>33701</v>
      </c>
      <c r="C94" s="6" t="s">
        <v>149</v>
      </c>
      <c r="D94" s="6"/>
      <c r="E94" s="7"/>
      <c r="F94" s="7"/>
      <c r="G94" s="7"/>
      <c r="H94" s="7"/>
      <c r="I94" s="7"/>
      <c r="J94" s="7"/>
    </row>
    <row r="95" spans="2:10" ht="21.2" customHeight="1" x14ac:dyDescent="0.25">
      <c r="B95" s="6">
        <v>33801</v>
      </c>
      <c r="C95" s="6" t="s">
        <v>150</v>
      </c>
      <c r="D95" s="6"/>
      <c r="E95" s="7"/>
      <c r="F95" s="7"/>
      <c r="G95" s="7"/>
      <c r="H95" s="7"/>
      <c r="I95" s="7"/>
      <c r="J95" s="7"/>
    </row>
    <row r="96" spans="2:10" ht="21.2" customHeight="1" x14ac:dyDescent="0.25">
      <c r="B96" s="6">
        <v>33901</v>
      </c>
      <c r="C96" s="6" t="s">
        <v>151</v>
      </c>
      <c r="D96" s="6"/>
      <c r="E96" s="7"/>
      <c r="F96" s="7"/>
      <c r="G96" s="7"/>
      <c r="H96" s="7"/>
      <c r="I96" s="7"/>
      <c r="J96" s="7"/>
    </row>
    <row r="97" spans="2:10" ht="21.2" customHeight="1" x14ac:dyDescent="0.25">
      <c r="B97" s="6">
        <v>34101</v>
      </c>
      <c r="C97" s="6" t="s">
        <v>152</v>
      </c>
      <c r="D97" s="6"/>
      <c r="E97" s="7"/>
      <c r="F97" s="7"/>
      <c r="G97" s="7"/>
      <c r="H97" s="7"/>
      <c r="I97" s="7"/>
      <c r="J97" s="7"/>
    </row>
    <row r="98" spans="2:10" ht="21.2" customHeight="1" x14ac:dyDescent="0.25">
      <c r="B98" s="6">
        <v>34201</v>
      </c>
      <c r="C98" s="6" t="s">
        <v>153</v>
      </c>
      <c r="D98" s="6"/>
      <c r="E98" s="7"/>
      <c r="F98" s="7"/>
      <c r="G98" s="7"/>
      <c r="H98" s="7"/>
      <c r="I98" s="7"/>
      <c r="J98" s="7"/>
    </row>
    <row r="99" spans="2:10" ht="21.2" customHeight="1" x14ac:dyDescent="0.25">
      <c r="B99" s="6">
        <v>34301</v>
      </c>
      <c r="C99" s="6" t="s">
        <v>154</v>
      </c>
      <c r="D99" s="6"/>
      <c r="E99" s="7"/>
      <c r="F99" s="7"/>
      <c r="G99" s="7"/>
      <c r="H99" s="7"/>
      <c r="I99" s="7"/>
      <c r="J99" s="7"/>
    </row>
    <row r="100" spans="2:10" ht="21.2" customHeight="1" x14ac:dyDescent="0.25">
      <c r="B100" s="6">
        <v>34401</v>
      </c>
      <c r="C100" s="6" t="s">
        <v>155</v>
      </c>
      <c r="D100" s="6"/>
      <c r="E100" s="7"/>
      <c r="F100" s="7"/>
      <c r="G100" s="7"/>
      <c r="H100" s="7"/>
      <c r="I100" s="7"/>
      <c r="J100" s="7"/>
    </row>
    <row r="101" spans="2:10" ht="21.2" customHeight="1" x14ac:dyDescent="0.25">
      <c r="B101" s="6">
        <v>34501</v>
      </c>
      <c r="C101" s="6" t="s">
        <v>156</v>
      </c>
      <c r="D101" s="6"/>
      <c r="E101" s="7"/>
      <c r="F101" s="7"/>
      <c r="G101" s="7"/>
      <c r="H101" s="7"/>
      <c r="I101" s="7"/>
      <c r="J101" s="7"/>
    </row>
    <row r="102" spans="2:10" ht="21.2" customHeight="1" x14ac:dyDescent="0.25">
      <c r="B102" s="6">
        <v>34601</v>
      </c>
      <c r="C102" s="6" t="s">
        <v>157</v>
      </c>
      <c r="D102" s="6"/>
      <c r="E102" s="7"/>
      <c r="F102" s="7"/>
      <c r="G102" s="7"/>
      <c r="H102" s="7"/>
      <c r="I102" s="7"/>
      <c r="J102" s="7"/>
    </row>
    <row r="103" spans="2:10" ht="21.2" customHeight="1" x14ac:dyDescent="0.25">
      <c r="B103" s="6">
        <v>34701</v>
      </c>
      <c r="C103" s="6" t="s">
        <v>158</v>
      </c>
      <c r="D103" s="6"/>
      <c r="E103" s="7"/>
      <c r="F103" s="7"/>
      <c r="G103" s="7"/>
      <c r="H103" s="7"/>
      <c r="I103" s="7"/>
      <c r="J103" s="7"/>
    </row>
    <row r="104" spans="2:10" ht="21.2" customHeight="1" x14ac:dyDescent="0.25">
      <c r="B104" s="6">
        <v>34801</v>
      </c>
      <c r="C104" s="6" t="s">
        <v>159</v>
      </c>
      <c r="D104" s="6"/>
      <c r="E104" s="7"/>
      <c r="F104" s="7"/>
      <c r="G104" s="7"/>
      <c r="H104" s="7"/>
      <c r="I104" s="7"/>
      <c r="J104" s="7"/>
    </row>
    <row r="105" spans="2:10" ht="21.2" customHeight="1" x14ac:dyDescent="0.25">
      <c r="B105" s="6">
        <v>34901</v>
      </c>
      <c r="C105" s="6" t="s">
        <v>160</v>
      </c>
      <c r="D105" s="6"/>
      <c r="E105" s="7"/>
      <c r="F105" s="7"/>
      <c r="G105" s="7"/>
      <c r="H105" s="7"/>
      <c r="I105" s="7"/>
      <c r="J105" s="7"/>
    </row>
    <row r="106" spans="2:10" ht="21.2" customHeight="1" x14ac:dyDescent="0.25">
      <c r="B106" s="6">
        <v>35101</v>
      </c>
      <c r="C106" s="6" t="s">
        <v>161</v>
      </c>
      <c r="D106" s="6"/>
      <c r="E106" s="7"/>
      <c r="F106" s="7"/>
      <c r="G106" s="7"/>
      <c r="H106" s="7"/>
      <c r="I106" s="7"/>
      <c r="J106" s="7"/>
    </row>
    <row r="107" spans="2:10" ht="21.2" customHeight="1" x14ac:dyDescent="0.25">
      <c r="B107" s="6">
        <v>35201</v>
      </c>
      <c r="C107" s="6" t="s">
        <v>162</v>
      </c>
      <c r="D107" s="6"/>
      <c r="E107" s="7"/>
      <c r="F107" s="7"/>
      <c r="G107" s="7"/>
      <c r="H107" s="7"/>
      <c r="I107" s="7"/>
      <c r="J107" s="7"/>
    </row>
    <row r="108" spans="2:10" ht="21.2" customHeight="1" x14ac:dyDescent="0.25">
      <c r="B108" s="6">
        <v>35301</v>
      </c>
      <c r="C108" s="6" t="s">
        <v>163</v>
      </c>
      <c r="D108" s="6"/>
      <c r="E108" s="7"/>
      <c r="F108" s="7"/>
      <c r="G108" s="7"/>
      <c r="H108" s="7"/>
      <c r="I108" s="7"/>
      <c r="J108" s="7"/>
    </row>
    <row r="109" spans="2:10" ht="21.2" customHeight="1" x14ac:dyDescent="0.25">
      <c r="B109" s="6">
        <v>35401</v>
      </c>
      <c r="C109" s="6" t="s">
        <v>164</v>
      </c>
      <c r="D109" s="6"/>
      <c r="E109" s="7"/>
      <c r="F109" s="7"/>
      <c r="G109" s="7"/>
      <c r="H109" s="7"/>
      <c r="I109" s="7"/>
      <c r="J109" s="7"/>
    </row>
    <row r="110" spans="2:10" ht="21.2" customHeight="1" x14ac:dyDescent="0.25">
      <c r="B110" s="6">
        <v>35501</v>
      </c>
      <c r="C110" s="6" t="s">
        <v>165</v>
      </c>
      <c r="D110" s="6"/>
      <c r="E110" s="7"/>
      <c r="F110" s="7"/>
      <c r="G110" s="7"/>
      <c r="H110" s="7"/>
      <c r="I110" s="7"/>
      <c r="J110" s="7"/>
    </row>
    <row r="111" spans="2:10" ht="21.2" customHeight="1" x14ac:dyDescent="0.25">
      <c r="B111" s="6">
        <v>35601</v>
      </c>
      <c r="C111" s="6" t="s">
        <v>166</v>
      </c>
      <c r="D111" s="6"/>
      <c r="E111" s="7"/>
      <c r="F111" s="7"/>
      <c r="G111" s="7"/>
      <c r="H111" s="7"/>
      <c r="I111" s="7"/>
      <c r="J111" s="7"/>
    </row>
    <row r="112" spans="2:10" ht="21.2" customHeight="1" x14ac:dyDescent="0.25">
      <c r="B112" s="6">
        <v>35701</v>
      </c>
      <c r="C112" s="6" t="s">
        <v>167</v>
      </c>
      <c r="D112" s="6"/>
      <c r="E112" s="7"/>
      <c r="F112" s="7"/>
      <c r="G112" s="7"/>
      <c r="H112" s="7"/>
      <c r="I112" s="7"/>
      <c r="J112" s="7"/>
    </row>
    <row r="113" spans="2:10" ht="21.2" customHeight="1" x14ac:dyDescent="0.25">
      <c r="B113" s="6">
        <v>35801</v>
      </c>
      <c r="C113" s="6" t="s">
        <v>168</v>
      </c>
      <c r="D113" s="6"/>
      <c r="E113" s="7"/>
      <c r="F113" s="7"/>
      <c r="G113" s="7"/>
      <c r="H113" s="7"/>
      <c r="I113" s="7"/>
      <c r="J113" s="7"/>
    </row>
    <row r="114" spans="2:10" ht="21.2" customHeight="1" x14ac:dyDescent="0.25">
      <c r="B114" s="6">
        <v>35901</v>
      </c>
      <c r="C114" s="6" t="s">
        <v>169</v>
      </c>
      <c r="D114" s="6"/>
      <c r="E114" s="7"/>
      <c r="F114" s="7"/>
      <c r="G114" s="7"/>
      <c r="H114" s="7"/>
      <c r="I114" s="7"/>
      <c r="J114" s="7"/>
    </row>
    <row r="115" spans="2:10" ht="21.2" customHeight="1" x14ac:dyDescent="0.25">
      <c r="B115" s="6">
        <v>36101</v>
      </c>
      <c r="C115" s="6" t="s">
        <v>170</v>
      </c>
      <c r="D115" s="6"/>
      <c r="E115" s="7"/>
      <c r="F115" s="7"/>
      <c r="G115" s="7"/>
      <c r="H115" s="7"/>
      <c r="I115" s="7"/>
      <c r="J115" s="7"/>
    </row>
    <row r="116" spans="2:10" ht="21.2" customHeight="1" x14ac:dyDescent="0.25">
      <c r="B116" s="6">
        <v>36201</v>
      </c>
      <c r="C116" s="6" t="s">
        <v>171</v>
      </c>
      <c r="D116" s="6"/>
      <c r="E116" s="7"/>
      <c r="F116" s="7"/>
      <c r="G116" s="7"/>
      <c r="H116" s="7"/>
      <c r="I116" s="7"/>
      <c r="J116" s="7"/>
    </row>
    <row r="117" spans="2:10" ht="21.2" customHeight="1" x14ac:dyDescent="0.25">
      <c r="B117" s="6">
        <v>36301</v>
      </c>
      <c r="C117" s="6" t="s">
        <v>172</v>
      </c>
      <c r="D117" s="6"/>
      <c r="E117" s="7"/>
      <c r="F117" s="7"/>
      <c r="G117" s="7"/>
      <c r="H117" s="7"/>
      <c r="I117" s="7"/>
      <c r="J117" s="7"/>
    </row>
    <row r="118" spans="2:10" ht="21.2" customHeight="1" x14ac:dyDescent="0.25">
      <c r="B118" s="6">
        <v>36401</v>
      </c>
      <c r="C118" s="6" t="s">
        <v>173</v>
      </c>
      <c r="D118" s="6"/>
      <c r="E118" s="7"/>
      <c r="F118" s="7"/>
      <c r="G118" s="7"/>
      <c r="H118" s="7"/>
      <c r="I118" s="7"/>
      <c r="J118" s="7"/>
    </row>
    <row r="119" spans="2:10" ht="21.2" customHeight="1" x14ac:dyDescent="0.25">
      <c r="B119" s="6">
        <v>36501</v>
      </c>
      <c r="C119" s="6" t="s">
        <v>174</v>
      </c>
      <c r="D119" s="6"/>
      <c r="E119" s="7"/>
      <c r="F119" s="7"/>
      <c r="G119" s="7"/>
      <c r="H119" s="7"/>
      <c r="I119" s="7"/>
      <c r="J119" s="7"/>
    </row>
    <row r="120" spans="2:10" ht="21.2" customHeight="1" x14ac:dyDescent="0.25">
      <c r="B120" s="6">
        <v>36601</v>
      </c>
      <c r="C120" s="6" t="s">
        <v>175</v>
      </c>
      <c r="D120" s="6"/>
      <c r="E120" s="7"/>
      <c r="F120" s="7"/>
      <c r="G120" s="7"/>
      <c r="H120" s="7"/>
      <c r="I120" s="7"/>
      <c r="J120" s="7"/>
    </row>
    <row r="121" spans="2:10" ht="21.2" customHeight="1" x14ac:dyDescent="0.25">
      <c r="B121" s="6">
        <v>36901</v>
      </c>
      <c r="C121" s="6" t="s">
        <v>176</v>
      </c>
      <c r="D121" s="6"/>
      <c r="E121" s="7"/>
      <c r="F121" s="7"/>
      <c r="G121" s="7"/>
      <c r="H121" s="7"/>
      <c r="I121" s="7"/>
      <c r="J121" s="7"/>
    </row>
    <row r="122" spans="2:10" ht="21.2" customHeight="1" x14ac:dyDescent="0.25">
      <c r="B122" s="6">
        <v>37101</v>
      </c>
      <c r="C122" s="6" t="s">
        <v>177</v>
      </c>
      <c r="D122" s="6"/>
      <c r="E122" s="7"/>
      <c r="F122" s="7"/>
      <c r="G122" s="7"/>
      <c r="H122" s="7"/>
      <c r="I122" s="7"/>
      <c r="J122" s="7"/>
    </row>
    <row r="123" spans="2:10" ht="21.2" customHeight="1" x14ac:dyDescent="0.25">
      <c r="B123" s="6">
        <v>37201</v>
      </c>
      <c r="C123" s="6" t="s">
        <v>178</v>
      </c>
      <c r="D123" s="6"/>
      <c r="E123" s="7"/>
      <c r="F123" s="7"/>
      <c r="G123" s="7"/>
      <c r="H123" s="7"/>
      <c r="I123" s="7"/>
      <c r="J123" s="7"/>
    </row>
    <row r="124" spans="2:10" ht="21.2" customHeight="1" x14ac:dyDescent="0.25">
      <c r="B124" s="6">
        <v>37301</v>
      </c>
      <c r="C124" s="6" t="s">
        <v>179</v>
      </c>
      <c r="D124" s="6"/>
      <c r="E124" s="7"/>
      <c r="F124" s="7"/>
      <c r="G124" s="7"/>
      <c r="H124" s="7"/>
      <c r="I124" s="7"/>
      <c r="J124" s="7"/>
    </row>
    <row r="125" spans="2:10" ht="21.2" customHeight="1" x14ac:dyDescent="0.25">
      <c r="B125" s="6">
        <v>37401</v>
      </c>
      <c r="C125" s="6" t="s">
        <v>180</v>
      </c>
      <c r="D125" s="6"/>
      <c r="E125" s="7"/>
      <c r="F125" s="7"/>
      <c r="G125" s="7"/>
      <c r="H125" s="7"/>
      <c r="I125" s="7"/>
      <c r="J125" s="7"/>
    </row>
    <row r="126" spans="2:10" ht="21.2" customHeight="1" x14ac:dyDescent="0.25">
      <c r="B126" s="6">
        <v>37501</v>
      </c>
      <c r="C126" s="6" t="s">
        <v>181</v>
      </c>
      <c r="D126" s="6"/>
      <c r="E126" s="7"/>
      <c r="F126" s="7"/>
      <c r="G126" s="7"/>
      <c r="H126" s="7"/>
      <c r="I126" s="7"/>
      <c r="J126" s="7"/>
    </row>
    <row r="127" spans="2:10" ht="21.2" customHeight="1" x14ac:dyDescent="0.25">
      <c r="B127" s="6">
        <v>37502</v>
      </c>
      <c r="C127" s="6" t="s">
        <v>182</v>
      </c>
      <c r="D127" s="6"/>
      <c r="E127" s="7"/>
      <c r="F127" s="7"/>
      <c r="G127" s="7"/>
      <c r="H127" s="7"/>
      <c r="I127" s="7"/>
      <c r="J127" s="7"/>
    </row>
    <row r="128" spans="2:10" ht="21.2" customHeight="1" x14ac:dyDescent="0.25">
      <c r="B128" s="6">
        <v>37601</v>
      </c>
      <c r="C128" s="6" t="s">
        <v>183</v>
      </c>
      <c r="D128" s="6"/>
      <c r="E128" s="7"/>
      <c r="F128" s="7"/>
      <c r="G128" s="7"/>
      <c r="H128" s="7"/>
      <c r="I128" s="7"/>
      <c r="J128" s="7"/>
    </row>
    <row r="129" spans="2:10" ht="21.2" customHeight="1" x14ac:dyDescent="0.25">
      <c r="B129" s="6">
        <v>37701</v>
      </c>
      <c r="C129" s="6" t="s">
        <v>184</v>
      </c>
      <c r="D129" s="6"/>
      <c r="E129" s="7"/>
      <c r="F129" s="7"/>
      <c r="G129" s="7"/>
      <c r="H129" s="7"/>
      <c r="I129" s="7"/>
      <c r="J129" s="7"/>
    </row>
    <row r="130" spans="2:10" ht="21.2" customHeight="1" x14ac:dyDescent="0.25">
      <c r="B130" s="6">
        <v>37801</v>
      </c>
      <c r="C130" s="6" t="s">
        <v>185</v>
      </c>
      <c r="D130" s="6"/>
      <c r="E130" s="7"/>
      <c r="F130" s="7"/>
      <c r="G130" s="7"/>
      <c r="H130" s="7"/>
      <c r="I130" s="7"/>
      <c r="J130" s="7"/>
    </row>
    <row r="131" spans="2:10" ht="21.2" customHeight="1" x14ac:dyDescent="0.25">
      <c r="B131" s="6">
        <v>37901</v>
      </c>
      <c r="C131" s="6" t="s">
        <v>186</v>
      </c>
      <c r="D131" s="6"/>
      <c r="E131" s="7"/>
      <c r="F131" s="7"/>
      <c r="G131" s="7"/>
      <c r="H131" s="7"/>
      <c r="I131" s="7"/>
      <c r="J131" s="7"/>
    </row>
    <row r="132" spans="2:10" ht="21.2" customHeight="1" x14ac:dyDescent="0.25">
      <c r="B132" s="6">
        <v>38101</v>
      </c>
      <c r="C132" s="6" t="s">
        <v>187</v>
      </c>
      <c r="D132" s="6"/>
      <c r="E132" s="7"/>
      <c r="F132" s="7"/>
      <c r="G132" s="7"/>
      <c r="H132" s="7"/>
      <c r="I132" s="7"/>
      <c r="J132" s="7"/>
    </row>
    <row r="133" spans="2:10" ht="21.2" customHeight="1" x14ac:dyDescent="0.25">
      <c r="B133" s="6">
        <v>38201</v>
      </c>
      <c r="C133" s="6" t="s">
        <v>188</v>
      </c>
      <c r="D133" s="6"/>
      <c r="E133" s="7"/>
      <c r="F133" s="7"/>
      <c r="G133" s="7"/>
      <c r="H133" s="7"/>
      <c r="I133" s="7"/>
      <c r="J133" s="7"/>
    </row>
    <row r="134" spans="2:10" ht="21.2" customHeight="1" x14ac:dyDescent="0.25">
      <c r="B134" s="6">
        <v>38301</v>
      </c>
      <c r="C134" s="6" t="s">
        <v>189</v>
      </c>
      <c r="D134" s="6"/>
      <c r="E134" s="7"/>
      <c r="F134" s="7"/>
      <c r="G134" s="7"/>
      <c r="H134" s="7"/>
      <c r="I134" s="7"/>
      <c r="J134" s="7"/>
    </row>
    <row r="135" spans="2:10" ht="21.2" customHeight="1" x14ac:dyDescent="0.25">
      <c r="B135" s="6">
        <v>38401</v>
      </c>
      <c r="C135" s="6" t="s">
        <v>190</v>
      </c>
      <c r="D135" s="6"/>
      <c r="E135" s="7"/>
      <c r="F135" s="7"/>
      <c r="G135" s="7"/>
      <c r="H135" s="7"/>
      <c r="I135" s="7"/>
      <c r="J135" s="7"/>
    </row>
    <row r="136" spans="2:10" ht="21.2" customHeight="1" x14ac:dyDescent="0.25">
      <c r="B136" s="6">
        <v>38501</v>
      </c>
      <c r="C136" s="6" t="s">
        <v>191</v>
      </c>
      <c r="D136" s="6"/>
      <c r="E136" s="7"/>
      <c r="F136" s="7"/>
      <c r="G136" s="7"/>
      <c r="H136" s="7"/>
      <c r="I136" s="7"/>
      <c r="J136" s="7"/>
    </row>
    <row r="137" spans="2:10" ht="21.2" customHeight="1" x14ac:dyDescent="0.25">
      <c r="B137" s="6">
        <v>39101</v>
      </c>
      <c r="C137" s="6" t="s">
        <v>192</v>
      </c>
      <c r="D137" s="6"/>
      <c r="E137" s="7"/>
      <c r="F137" s="7"/>
      <c r="G137" s="7"/>
      <c r="H137" s="7"/>
      <c r="I137" s="7"/>
      <c r="J137" s="7"/>
    </row>
    <row r="138" spans="2:10" ht="21.2" customHeight="1" x14ac:dyDescent="0.25">
      <c r="B138" s="6">
        <v>39201</v>
      </c>
      <c r="C138" s="6" t="s">
        <v>193</v>
      </c>
      <c r="D138" s="6"/>
      <c r="E138" s="7"/>
      <c r="F138" s="7"/>
      <c r="G138" s="7"/>
      <c r="H138" s="7"/>
      <c r="I138" s="7"/>
      <c r="J138" s="7"/>
    </row>
    <row r="139" spans="2:10" ht="21.2" customHeight="1" x14ac:dyDescent="0.25">
      <c r="B139" s="6">
        <v>39202</v>
      </c>
      <c r="C139" s="6" t="s">
        <v>194</v>
      </c>
      <c r="D139" s="6"/>
      <c r="E139" s="7"/>
      <c r="F139" s="7"/>
      <c r="G139" s="7"/>
      <c r="H139" s="7"/>
      <c r="I139" s="7"/>
      <c r="J139" s="7"/>
    </row>
    <row r="140" spans="2:10" ht="21.2" customHeight="1" x14ac:dyDescent="0.25">
      <c r="B140" s="6">
        <v>39301</v>
      </c>
      <c r="C140" s="6" t="s">
        <v>195</v>
      </c>
      <c r="D140" s="6"/>
      <c r="E140" s="7"/>
      <c r="F140" s="7"/>
      <c r="G140" s="7"/>
      <c r="H140" s="7"/>
      <c r="I140" s="7"/>
      <c r="J140" s="7"/>
    </row>
    <row r="141" spans="2:10" ht="21.2" customHeight="1" x14ac:dyDescent="0.25">
      <c r="B141" s="6">
        <v>39401</v>
      </c>
      <c r="C141" s="6" t="s">
        <v>196</v>
      </c>
      <c r="D141" s="6"/>
      <c r="E141" s="7"/>
      <c r="F141" s="7"/>
      <c r="G141" s="7"/>
      <c r="H141" s="7"/>
      <c r="I141" s="7"/>
      <c r="J141" s="7"/>
    </row>
    <row r="142" spans="2:10" ht="21.2" customHeight="1" x14ac:dyDescent="0.25">
      <c r="B142" s="6">
        <v>39501</v>
      </c>
      <c r="C142" s="6" t="s">
        <v>197</v>
      </c>
      <c r="D142" s="6"/>
      <c r="E142" s="7"/>
      <c r="F142" s="7"/>
      <c r="G142" s="7"/>
      <c r="H142" s="7"/>
      <c r="I142" s="7"/>
      <c r="J142" s="7"/>
    </row>
    <row r="143" spans="2:10" ht="21.2" customHeight="1" x14ac:dyDescent="0.25">
      <c r="B143" s="6">
        <v>39601</v>
      </c>
      <c r="C143" s="6" t="s">
        <v>198</v>
      </c>
      <c r="D143" s="6"/>
      <c r="E143" s="7"/>
      <c r="F143" s="7"/>
      <c r="G143" s="7"/>
      <c r="H143" s="7"/>
      <c r="I143" s="7"/>
      <c r="J143" s="7"/>
    </row>
    <row r="144" spans="2:10" ht="21.2" customHeight="1" x14ac:dyDescent="0.25">
      <c r="B144" s="6">
        <v>39701</v>
      </c>
      <c r="C144" s="6" t="s">
        <v>199</v>
      </c>
      <c r="D144" s="6"/>
      <c r="E144" s="7"/>
      <c r="F144" s="7"/>
      <c r="G144" s="7"/>
      <c r="H144" s="7"/>
      <c r="I144" s="7"/>
      <c r="J144" s="7"/>
    </row>
    <row r="145" spans="2:10" ht="21.2" customHeight="1" x14ac:dyDescent="0.25">
      <c r="B145" s="6">
        <v>39801</v>
      </c>
      <c r="C145" s="6" t="s">
        <v>200</v>
      </c>
      <c r="D145" s="6"/>
      <c r="E145" s="7"/>
      <c r="F145" s="7"/>
      <c r="G145" s="7"/>
      <c r="H145" s="7"/>
      <c r="I145" s="7"/>
      <c r="J145" s="7"/>
    </row>
    <row r="146" spans="2:10" ht="21.2" customHeight="1" x14ac:dyDescent="0.25">
      <c r="B146" s="6">
        <v>39901</v>
      </c>
      <c r="C146" s="6" t="s">
        <v>201</v>
      </c>
      <c r="D146" s="6"/>
      <c r="E146" s="7"/>
      <c r="F146" s="7"/>
      <c r="G146" s="7"/>
      <c r="H146" s="7"/>
      <c r="I146" s="7"/>
      <c r="J146" s="7"/>
    </row>
    <row r="147" spans="2:10" ht="21.2" customHeight="1" x14ac:dyDescent="0.25">
      <c r="B147" s="6">
        <v>39903</v>
      </c>
      <c r="C147" s="6" t="s">
        <v>202</v>
      </c>
      <c r="D147" s="6"/>
      <c r="E147" s="7"/>
      <c r="F147" s="7"/>
      <c r="G147" s="7"/>
      <c r="H147" s="7"/>
      <c r="I147" s="7"/>
      <c r="J147" s="7"/>
    </row>
    <row r="148" spans="2:10" ht="21.2" customHeight="1" x14ac:dyDescent="0.25">
      <c r="B148" s="6">
        <v>39909</v>
      </c>
      <c r="C148" s="6" t="s">
        <v>201</v>
      </c>
      <c r="D148" s="6"/>
      <c r="E148" s="7"/>
      <c r="F148" s="7"/>
      <c r="G148" s="7"/>
      <c r="H148" s="7"/>
      <c r="I148" s="7"/>
      <c r="J148" s="7"/>
    </row>
    <row r="149" spans="2:10" ht="21.2" customHeight="1" x14ac:dyDescent="0.25">
      <c r="B149" s="6">
        <v>41101</v>
      </c>
      <c r="C149" s="6" t="s">
        <v>203</v>
      </c>
      <c r="D149" s="6"/>
      <c r="E149" s="7"/>
      <c r="F149" s="7"/>
      <c r="G149" s="7"/>
      <c r="H149" s="7"/>
      <c r="I149" s="7"/>
      <c r="J149" s="7"/>
    </row>
    <row r="150" spans="2:10" ht="21.2" customHeight="1" x14ac:dyDescent="0.25">
      <c r="B150" s="6">
        <v>42301</v>
      </c>
      <c r="C150" s="6" t="s">
        <v>204</v>
      </c>
      <c r="D150" s="6"/>
      <c r="E150" s="7"/>
      <c r="F150" s="7"/>
      <c r="G150" s="7"/>
      <c r="H150" s="7"/>
      <c r="I150" s="7"/>
      <c r="J150" s="7"/>
    </row>
    <row r="151" spans="2:10" ht="21.2" customHeight="1" x14ac:dyDescent="0.25">
      <c r="B151" s="6">
        <v>42501</v>
      </c>
      <c r="C151" s="6" t="s">
        <v>205</v>
      </c>
      <c r="D151" s="6"/>
      <c r="E151" s="7"/>
      <c r="F151" s="7"/>
      <c r="G151" s="7"/>
      <c r="H151" s="7"/>
      <c r="I151" s="7"/>
      <c r="J151" s="7"/>
    </row>
    <row r="152" spans="2:10" ht="21.2" customHeight="1" x14ac:dyDescent="0.25">
      <c r="B152" s="6">
        <v>43301</v>
      </c>
      <c r="C152" s="6" t="s">
        <v>206</v>
      </c>
      <c r="D152" s="6"/>
      <c r="E152" s="7"/>
      <c r="F152" s="7"/>
      <c r="G152" s="7"/>
      <c r="H152" s="7"/>
      <c r="I152" s="7"/>
      <c r="J152" s="7"/>
    </row>
    <row r="153" spans="2:10" ht="21.2" customHeight="1" x14ac:dyDescent="0.25">
      <c r="B153" s="6">
        <v>43401</v>
      </c>
      <c r="C153" s="6" t="s">
        <v>207</v>
      </c>
      <c r="D153" s="6"/>
      <c r="E153" s="7"/>
      <c r="F153" s="7"/>
      <c r="G153" s="7"/>
      <c r="H153" s="7"/>
      <c r="I153" s="7"/>
      <c r="J153" s="7"/>
    </row>
    <row r="154" spans="2:10" ht="21.2" customHeight="1" x14ac:dyDescent="0.25">
      <c r="B154" s="6">
        <v>43501</v>
      </c>
      <c r="C154" s="6" t="s">
        <v>208</v>
      </c>
      <c r="D154" s="6"/>
      <c r="E154" s="7"/>
      <c r="F154" s="7"/>
      <c r="G154" s="7"/>
      <c r="H154" s="7"/>
      <c r="I154" s="7"/>
      <c r="J154" s="7"/>
    </row>
    <row r="155" spans="2:10" ht="21.2" customHeight="1" x14ac:dyDescent="0.25">
      <c r="B155" s="6">
        <v>43601</v>
      </c>
      <c r="C155" s="6" t="s">
        <v>209</v>
      </c>
      <c r="D155" s="6"/>
      <c r="E155" s="7"/>
      <c r="F155" s="7"/>
      <c r="G155" s="7"/>
      <c r="H155" s="7"/>
      <c r="I155" s="7"/>
      <c r="J155" s="7"/>
    </row>
    <row r="156" spans="2:10" ht="21.2" customHeight="1" x14ac:dyDescent="0.25">
      <c r="B156" s="6">
        <v>43701</v>
      </c>
      <c r="C156" s="6" t="s">
        <v>210</v>
      </c>
      <c r="D156" s="6"/>
      <c r="E156" s="7"/>
      <c r="F156" s="7"/>
      <c r="G156" s="7"/>
      <c r="H156" s="7"/>
      <c r="I156" s="7"/>
      <c r="J156" s="7"/>
    </row>
    <row r="157" spans="2:10" ht="21.2" customHeight="1" x14ac:dyDescent="0.25">
      <c r="B157" s="6">
        <v>43801</v>
      </c>
      <c r="C157" s="6" t="s">
        <v>211</v>
      </c>
      <c r="D157" s="6"/>
      <c r="E157" s="7"/>
      <c r="F157" s="7"/>
      <c r="G157" s="7"/>
      <c r="H157" s="7"/>
      <c r="I157" s="7"/>
      <c r="J157" s="7"/>
    </row>
    <row r="158" spans="2:10" ht="21.2" customHeight="1" x14ac:dyDescent="0.25">
      <c r="B158" s="6">
        <v>43901</v>
      </c>
      <c r="C158" s="6" t="s">
        <v>212</v>
      </c>
      <c r="D158" s="6"/>
      <c r="E158" s="7"/>
      <c r="F158" s="7"/>
      <c r="G158" s="7"/>
      <c r="H158" s="7"/>
      <c r="I158" s="7"/>
      <c r="J158" s="7"/>
    </row>
    <row r="159" spans="2:10" ht="21.2" customHeight="1" x14ac:dyDescent="0.25">
      <c r="B159" s="6">
        <v>44101</v>
      </c>
      <c r="C159" s="6" t="s">
        <v>213</v>
      </c>
      <c r="D159" s="6"/>
      <c r="E159" s="7"/>
      <c r="F159" s="7"/>
      <c r="G159" s="7"/>
      <c r="H159" s="7"/>
      <c r="I159" s="7"/>
      <c r="J159" s="7"/>
    </row>
    <row r="160" spans="2:10" ht="21.2" customHeight="1" x14ac:dyDescent="0.25">
      <c r="B160" s="6">
        <v>44103</v>
      </c>
      <c r="C160" s="6" t="s">
        <v>214</v>
      </c>
      <c r="D160" s="6"/>
      <c r="E160" s="7"/>
      <c r="F160" s="7"/>
      <c r="G160" s="7"/>
      <c r="H160" s="7"/>
      <c r="I160" s="7"/>
      <c r="J160" s="7"/>
    </row>
    <row r="161" spans="2:10" ht="21.2" customHeight="1" x14ac:dyDescent="0.25">
      <c r="B161" s="6">
        <v>44104</v>
      </c>
      <c r="C161" s="6" t="s">
        <v>215</v>
      </c>
      <c r="D161" s="6"/>
      <c r="E161" s="7"/>
      <c r="F161" s="7"/>
      <c r="G161" s="7"/>
      <c r="H161" s="7"/>
      <c r="I161" s="7"/>
      <c r="J161" s="7"/>
    </row>
    <row r="162" spans="2:10" ht="21.2" customHeight="1" x14ac:dyDescent="0.25">
      <c r="B162" s="6">
        <v>44106</v>
      </c>
      <c r="C162" s="6" t="s">
        <v>216</v>
      </c>
      <c r="D162" s="6"/>
      <c r="E162" s="7"/>
      <c r="F162" s="7"/>
      <c r="G162" s="7"/>
      <c r="H162" s="7"/>
      <c r="I162" s="7"/>
      <c r="J162" s="7"/>
    </row>
    <row r="163" spans="2:10" ht="21.2" customHeight="1" x14ac:dyDescent="0.25">
      <c r="B163" s="6">
        <v>44108</v>
      </c>
      <c r="C163" s="6" t="s">
        <v>217</v>
      </c>
      <c r="D163" s="6"/>
      <c r="E163" s="7"/>
      <c r="F163" s="7"/>
      <c r="G163" s="7"/>
      <c r="H163" s="7"/>
      <c r="I163" s="7"/>
      <c r="J163" s="7"/>
    </row>
    <row r="164" spans="2:10" ht="21.2" customHeight="1" x14ac:dyDescent="0.25">
      <c r="B164" s="6">
        <v>44201</v>
      </c>
      <c r="C164" s="6" t="s">
        <v>218</v>
      </c>
      <c r="D164" s="6"/>
      <c r="E164" s="7"/>
      <c r="F164" s="7"/>
      <c r="G164" s="7"/>
      <c r="H164" s="7"/>
      <c r="I164" s="7"/>
      <c r="J164" s="7"/>
    </row>
    <row r="165" spans="2:10" ht="21.2" customHeight="1" x14ac:dyDescent="0.25">
      <c r="B165" s="6">
        <v>44202</v>
      </c>
      <c r="C165" s="6" t="s">
        <v>219</v>
      </c>
      <c r="D165" s="6"/>
      <c r="E165" s="7"/>
      <c r="F165" s="7"/>
      <c r="G165" s="7"/>
      <c r="H165" s="7"/>
      <c r="I165" s="7"/>
      <c r="J165" s="7"/>
    </row>
    <row r="166" spans="2:10" ht="21.2" customHeight="1" x14ac:dyDescent="0.25">
      <c r="B166" s="6">
        <v>44301</v>
      </c>
      <c r="C166" s="6" t="s">
        <v>220</v>
      </c>
      <c r="D166" s="6"/>
      <c r="E166" s="7"/>
      <c r="F166" s="7"/>
      <c r="G166" s="7"/>
      <c r="H166" s="7"/>
      <c r="I166" s="7"/>
      <c r="J166" s="7"/>
    </row>
    <row r="167" spans="2:10" ht="21.2" customHeight="1" x14ac:dyDescent="0.25">
      <c r="B167" s="6">
        <v>44401</v>
      </c>
      <c r="C167" s="6" t="s">
        <v>221</v>
      </c>
      <c r="D167" s="6"/>
      <c r="E167" s="7"/>
      <c r="F167" s="7"/>
      <c r="G167" s="7"/>
      <c r="H167" s="7"/>
      <c r="I167" s="7"/>
      <c r="J167" s="7"/>
    </row>
    <row r="168" spans="2:10" ht="21.2" customHeight="1" x14ac:dyDescent="0.25">
      <c r="B168" s="6">
        <v>44501</v>
      </c>
      <c r="C168" s="6" t="s">
        <v>222</v>
      </c>
      <c r="D168" s="6"/>
      <c r="E168" s="7"/>
      <c r="F168" s="7"/>
      <c r="G168" s="7"/>
      <c r="H168" s="7"/>
      <c r="I168" s="7"/>
      <c r="J168" s="7"/>
    </row>
    <row r="169" spans="2:10" ht="21.2" customHeight="1" x14ac:dyDescent="0.25">
      <c r="B169" s="6">
        <v>44601</v>
      </c>
      <c r="C169" s="6" t="s">
        <v>223</v>
      </c>
      <c r="D169" s="6"/>
      <c r="E169" s="7"/>
      <c r="F169" s="7"/>
      <c r="G169" s="7"/>
      <c r="H169" s="7"/>
      <c r="I169" s="7"/>
      <c r="J169" s="7"/>
    </row>
    <row r="170" spans="2:10" ht="21.2" customHeight="1" x14ac:dyDescent="0.25">
      <c r="B170" s="6">
        <v>44701</v>
      </c>
      <c r="C170" s="6" t="s">
        <v>224</v>
      </c>
      <c r="D170" s="6"/>
      <c r="E170" s="7"/>
      <c r="F170" s="7"/>
      <c r="G170" s="7"/>
      <c r="H170" s="7"/>
      <c r="I170" s="7"/>
      <c r="J170" s="7"/>
    </row>
    <row r="171" spans="2:10" ht="21.2" customHeight="1" x14ac:dyDescent="0.25">
      <c r="B171" s="6">
        <v>44801</v>
      </c>
      <c r="C171" s="6" t="s">
        <v>225</v>
      </c>
      <c r="D171" s="6"/>
      <c r="E171" s="7"/>
      <c r="F171" s="7"/>
      <c r="G171" s="7"/>
      <c r="H171" s="7"/>
      <c r="I171" s="7"/>
      <c r="J171" s="7"/>
    </row>
    <row r="172" spans="2:10" ht="21.2" customHeight="1" x14ac:dyDescent="0.25">
      <c r="B172" s="6">
        <v>45101</v>
      </c>
      <c r="C172" s="6" t="s">
        <v>226</v>
      </c>
      <c r="D172" s="6"/>
      <c r="E172" s="7"/>
      <c r="F172" s="7"/>
      <c r="G172" s="7"/>
      <c r="H172" s="7"/>
      <c r="I172" s="7"/>
      <c r="J172" s="7"/>
    </row>
    <row r="173" spans="2:10" ht="21.2" customHeight="1" x14ac:dyDescent="0.25">
      <c r="B173" s="6">
        <v>45201</v>
      </c>
      <c r="C173" s="6" t="s">
        <v>227</v>
      </c>
      <c r="D173" s="6"/>
      <c r="E173" s="7"/>
      <c r="F173" s="7"/>
      <c r="G173" s="7"/>
      <c r="H173" s="7"/>
      <c r="I173" s="7"/>
      <c r="J173" s="7"/>
    </row>
    <row r="174" spans="2:10" ht="21.2" customHeight="1" x14ac:dyDescent="0.25">
      <c r="B174" s="6">
        <v>45901</v>
      </c>
      <c r="C174" s="6" t="s">
        <v>228</v>
      </c>
      <c r="D174" s="6"/>
      <c r="E174" s="7"/>
      <c r="F174" s="7"/>
      <c r="G174" s="7"/>
      <c r="H174" s="7"/>
      <c r="I174" s="7"/>
      <c r="J174" s="7"/>
    </row>
    <row r="175" spans="2:10" ht="21.2" customHeight="1" x14ac:dyDescent="0.25">
      <c r="B175" s="6">
        <v>46101</v>
      </c>
      <c r="C175" s="6" t="s">
        <v>229</v>
      </c>
      <c r="D175" s="6"/>
      <c r="E175" s="7"/>
      <c r="F175" s="7"/>
      <c r="G175" s="7"/>
      <c r="H175" s="7"/>
      <c r="I175" s="7"/>
      <c r="J175" s="7"/>
    </row>
    <row r="176" spans="2:10" ht="21.2" customHeight="1" x14ac:dyDescent="0.25">
      <c r="B176" s="6">
        <v>46201</v>
      </c>
      <c r="C176" s="6" t="s">
        <v>230</v>
      </c>
      <c r="D176" s="6"/>
      <c r="E176" s="7"/>
      <c r="F176" s="7"/>
      <c r="G176" s="7"/>
      <c r="H176" s="7"/>
      <c r="I176" s="7"/>
      <c r="J176" s="7"/>
    </row>
    <row r="177" spans="2:10" ht="21.2" customHeight="1" x14ac:dyDescent="0.25">
      <c r="B177" s="6">
        <v>46301</v>
      </c>
      <c r="C177" s="6" t="s">
        <v>231</v>
      </c>
      <c r="D177" s="6"/>
      <c r="E177" s="7"/>
      <c r="F177" s="7"/>
      <c r="G177" s="7"/>
      <c r="H177" s="7"/>
      <c r="I177" s="7"/>
      <c r="J177" s="7"/>
    </row>
    <row r="178" spans="2:10" ht="21.2" customHeight="1" x14ac:dyDescent="0.25">
      <c r="B178" s="6">
        <v>46401</v>
      </c>
      <c r="C178" s="6" t="s">
        <v>232</v>
      </c>
      <c r="D178" s="6"/>
      <c r="E178" s="7"/>
      <c r="F178" s="7"/>
      <c r="G178" s="7"/>
      <c r="H178" s="7"/>
      <c r="I178" s="7"/>
      <c r="J178" s="7"/>
    </row>
    <row r="179" spans="2:10" ht="21.2" customHeight="1" x14ac:dyDescent="0.25">
      <c r="B179" s="6">
        <v>46501</v>
      </c>
      <c r="C179" s="6" t="s">
        <v>233</v>
      </c>
      <c r="D179" s="6"/>
      <c r="E179" s="7"/>
      <c r="F179" s="7"/>
      <c r="G179" s="7"/>
      <c r="H179" s="7"/>
      <c r="I179" s="7"/>
      <c r="J179" s="7"/>
    </row>
    <row r="180" spans="2:10" ht="21.2" customHeight="1" x14ac:dyDescent="0.25">
      <c r="B180" s="6">
        <v>46601</v>
      </c>
      <c r="C180" s="6" t="s">
        <v>234</v>
      </c>
      <c r="D180" s="6"/>
      <c r="E180" s="7"/>
      <c r="F180" s="7"/>
      <c r="G180" s="7"/>
      <c r="H180" s="7"/>
      <c r="I180" s="7"/>
      <c r="J180" s="7"/>
    </row>
    <row r="181" spans="2:10" ht="21.2" customHeight="1" x14ac:dyDescent="0.25">
      <c r="B181" s="6">
        <v>46901</v>
      </c>
      <c r="C181" s="6" t="s">
        <v>235</v>
      </c>
      <c r="D181" s="6"/>
      <c r="E181" s="7"/>
      <c r="F181" s="7"/>
      <c r="G181" s="7"/>
      <c r="H181" s="7"/>
      <c r="I181" s="7"/>
      <c r="J181" s="7"/>
    </row>
    <row r="182" spans="2:10" ht="21.2" customHeight="1" x14ac:dyDescent="0.25">
      <c r="B182" s="6">
        <v>47101</v>
      </c>
      <c r="C182" s="6" t="s">
        <v>236</v>
      </c>
      <c r="D182" s="6"/>
      <c r="E182" s="7"/>
      <c r="F182" s="7"/>
      <c r="G182" s="7"/>
      <c r="H182" s="7"/>
      <c r="I182" s="7"/>
      <c r="J182" s="7"/>
    </row>
    <row r="183" spans="2:10" ht="21.2" customHeight="1" x14ac:dyDescent="0.25">
      <c r="B183" s="6">
        <v>48101</v>
      </c>
      <c r="C183" s="6" t="s">
        <v>237</v>
      </c>
      <c r="D183" s="6"/>
      <c r="E183" s="7"/>
      <c r="F183" s="7"/>
      <c r="G183" s="7"/>
      <c r="H183" s="7"/>
      <c r="I183" s="7"/>
      <c r="J183" s="7"/>
    </row>
    <row r="184" spans="2:10" ht="21.2" customHeight="1" x14ac:dyDescent="0.25">
      <c r="B184" s="6">
        <v>48201</v>
      </c>
      <c r="C184" s="6" t="s">
        <v>238</v>
      </c>
      <c r="D184" s="6"/>
      <c r="E184" s="7"/>
      <c r="F184" s="7"/>
      <c r="G184" s="7"/>
      <c r="H184" s="7"/>
      <c r="I184" s="7"/>
      <c r="J184" s="7"/>
    </row>
    <row r="185" spans="2:10" ht="21.2" customHeight="1" x14ac:dyDescent="0.25">
      <c r="B185" s="6">
        <v>48301</v>
      </c>
      <c r="C185" s="6" t="s">
        <v>239</v>
      </c>
      <c r="D185" s="6"/>
      <c r="E185" s="7"/>
      <c r="F185" s="7"/>
      <c r="G185" s="7"/>
      <c r="H185" s="7"/>
      <c r="I185" s="7"/>
      <c r="J185" s="7"/>
    </row>
    <row r="186" spans="2:10" ht="21.2" customHeight="1" x14ac:dyDescent="0.25">
      <c r="B186" s="6">
        <v>48401</v>
      </c>
      <c r="C186" s="6" t="s">
        <v>240</v>
      </c>
      <c r="D186" s="6"/>
      <c r="E186" s="7"/>
      <c r="F186" s="7"/>
      <c r="G186" s="7"/>
      <c r="H186" s="7"/>
      <c r="I186" s="7"/>
      <c r="J186" s="7"/>
    </row>
    <row r="187" spans="2:10" ht="21.2" customHeight="1" x14ac:dyDescent="0.25">
      <c r="B187" s="6">
        <v>48501</v>
      </c>
      <c r="C187" s="6" t="s">
        <v>241</v>
      </c>
      <c r="D187" s="6"/>
      <c r="E187" s="7"/>
      <c r="F187" s="7"/>
      <c r="G187" s="7"/>
      <c r="H187" s="7"/>
      <c r="I187" s="7"/>
      <c r="J187" s="7"/>
    </row>
    <row r="188" spans="2:10" ht="21.2" customHeight="1" x14ac:dyDescent="0.25">
      <c r="B188" s="6">
        <v>49101</v>
      </c>
      <c r="C188" s="6" t="s">
        <v>242</v>
      </c>
      <c r="D188" s="6"/>
      <c r="E188" s="7"/>
      <c r="F188" s="7"/>
      <c r="G188" s="7"/>
      <c r="H188" s="7"/>
      <c r="I188" s="7"/>
      <c r="J188" s="7"/>
    </row>
    <row r="189" spans="2:10" ht="21.2" customHeight="1" x14ac:dyDescent="0.25">
      <c r="B189" s="6">
        <v>49201</v>
      </c>
      <c r="C189" s="6" t="s">
        <v>243</v>
      </c>
      <c r="D189" s="6"/>
      <c r="E189" s="7"/>
      <c r="F189" s="7"/>
      <c r="G189" s="7"/>
      <c r="H189" s="7"/>
      <c r="I189" s="7"/>
      <c r="J189" s="7"/>
    </row>
    <row r="190" spans="2:10" ht="21.2" customHeight="1" x14ac:dyDescent="0.25">
      <c r="B190" s="6">
        <v>49301</v>
      </c>
      <c r="C190" s="6" t="s">
        <v>244</v>
      </c>
      <c r="D190" s="6"/>
      <c r="E190" s="7"/>
      <c r="F190" s="7"/>
      <c r="G190" s="7"/>
      <c r="H190" s="7"/>
      <c r="I190" s="7"/>
      <c r="J190" s="7"/>
    </row>
    <row r="191" spans="2:10" ht="21.2" customHeight="1" x14ac:dyDescent="0.25">
      <c r="B191" s="6">
        <v>51101</v>
      </c>
      <c r="C191" s="6" t="s">
        <v>245</v>
      </c>
      <c r="D191" s="6"/>
      <c r="E191" s="7"/>
      <c r="F191" s="7"/>
      <c r="G191" s="7"/>
      <c r="H191" s="7"/>
      <c r="I191" s="7"/>
      <c r="J191" s="7"/>
    </row>
    <row r="192" spans="2:10" ht="21.2" customHeight="1" x14ac:dyDescent="0.25">
      <c r="B192" s="6">
        <v>51201</v>
      </c>
      <c r="C192" s="6" t="s">
        <v>246</v>
      </c>
      <c r="D192" s="6"/>
      <c r="E192" s="7"/>
      <c r="F192" s="7"/>
      <c r="G192" s="7"/>
      <c r="H192" s="7"/>
      <c r="I192" s="7"/>
      <c r="J192" s="7"/>
    </row>
    <row r="193" spans="2:10" ht="21.2" customHeight="1" x14ac:dyDescent="0.25">
      <c r="B193" s="6">
        <v>51301</v>
      </c>
      <c r="C193" s="6" t="s">
        <v>247</v>
      </c>
      <c r="D193" s="6"/>
      <c r="E193" s="7"/>
      <c r="F193" s="7"/>
      <c r="G193" s="7"/>
      <c r="H193" s="7"/>
      <c r="I193" s="7"/>
      <c r="J193" s="7"/>
    </row>
    <row r="194" spans="2:10" ht="21.2" customHeight="1" x14ac:dyDescent="0.25">
      <c r="B194" s="6">
        <v>51401</v>
      </c>
      <c r="C194" s="6" t="s">
        <v>248</v>
      </c>
      <c r="D194" s="6"/>
      <c r="E194" s="7"/>
      <c r="F194" s="7"/>
      <c r="G194" s="7"/>
      <c r="H194" s="7"/>
      <c r="I194" s="7"/>
      <c r="J194" s="7"/>
    </row>
    <row r="195" spans="2:10" ht="21.2" customHeight="1" x14ac:dyDescent="0.25">
      <c r="B195" s="6">
        <v>51501</v>
      </c>
      <c r="C195" s="6" t="s">
        <v>249</v>
      </c>
      <c r="D195" s="6"/>
      <c r="E195" s="7"/>
      <c r="F195" s="7"/>
      <c r="G195" s="7"/>
      <c r="H195" s="7"/>
      <c r="I195" s="7"/>
      <c r="J195" s="7"/>
    </row>
    <row r="196" spans="2:10" ht="21.2" customHeight="1" x14ac:dyDescent="0.25">
      <c r="B196" s="6">
        <v>51901</v>
      </c>
      <c r="C196" s="6" t="s">
        <v>250</v>
      </c>
      <c r="D196" s="6"/>
      <c r="E196" s="7"/>
      <c r="F196" s="7"/>
      <c r="G196" s="7"/>
      <c r="H196" s="7"/>
      <c r="I196" s="7"/>
      <c r="J196" s="7"/>
    </row>
    <row r="197" spans="2:10" ht="21.2" customHeight="1" x14ac:dyDescent="0.25">
      <c r="B197" s="6">
        <v>51902</v>
      </c>
      <c r="C197" s="6" t="s">
        <v>251</v>
      </c>
      <c r="D197" s="6"/>
      <c r="E197" s="7"/>
      <c r="F197" s="7"/>
      <c r="G197" s="7"/>
      <c r="H197" s="7"/>
      <c r="I197" s="7"/>
      <c r="J197" s="7"/>
    </row>
    <row r="198" spans="2:10" ht="21.2" customHeight="1" x14ac:dyDescent="0.25">
      <c r="B198" s="6">
        <v>52101</v>
      </c>
      <c r="C198" s="6" t="s">
        <v>252</v>
      </c>
      <c r="D198" s="6"/>
      <c r="E198" s="7"/>
      <c r="F198" s="7"/>
      <c r="G198" s="7"/>
      <c r="H198" s="7"/>
      <c r="I198" s="7"/>
      <c r="J198" s="7"/>
    </row>
    <row r="199" spans="2:10" ht="21.2" customHeight="1" x14ac:dyDescent="0.25">
      <c r="B199" s="6">
        <v>52201</v>
      </c>
      <c r="C199" s="6" t="s">
        <v>253</v>
      </c>
      <c r="D199" s="6"/>
      <c r="E199" s="7"/>
      <c r="F199" s="7"/>
      <c r="G199" s="7"/>
      <c r="H199" s="7"/>
      <c r="I199" s="7"/>
      <c r="J199" s="7"/>
    </row>
    <row r="200" spans="2:10" ht="21.2" customHeight="1" x14ac:dyDescent="0.25">
      <c r="B200" s="6">
        <v>52301</v>
      </c>
      <c r="C200" s="6" t="s">
        <v>254</v>
      </c>
      <c r="D200" s="6"/>
      <c r="E200" s="7"/>
      <c r="F200" s="7"/>
      <c r="G200" s="7"/>
      <c r="H200" s="7"/>
      <c r="I200" s="7"/>
      <c r="J200" s="7"/>
    </row>
    <row r="201" spans="2:10" ht="21.2" customHeight="1" x14ac:dyDescent="0.25">
      <c r="B201" s="6">
        <v>52901</v>
      </c>
      <c r="C201" s="6" t="s">
        <v>255</v>
      </c>
      <c r="D201" s="6"/>
      <c r="E201" s="7"/>
      <c r="F201" s="7"/>
      <c r="G201" s="7"/>
      <c r="H201" s="7"/>
      <c r="I201" s="7"/>
      <c r="J201" s="7"/>
    </row>
    <row r="202" spans="2:10" ht="21.2" customHeight="1" x14ac:dyDescent="0.25">
      <c r="B202" s="6">
        <v>53101</v>
      </c>
      <c r="C202" s="6" t="s">
        <v>256</v>
      </c>
      <c r="D202" s="6"/>
      <c r="E202" s="7"/>
      <c r="F202" s="7"/>
      <c r="G202" s="7"/>
      <c r="H202" s="7"/>
      <c r="I202" s="7"/>
      <c r="J202" s="7"/>
    </row>
    <row r="203" spans="2:10" ht="21.2" customHeight="1" x14ac:dyDescent="0.25">
      <c r="B203" s="6">
        <v>53201</v>
      </c>
      <c r="C203" s="6" t="s">
        <v>257</v>
      </c>
      <c r="D203" s="6"/>
      <c r="E203" s="7"/>
      <c r="F203" s="7"/>
      <c r="G203" s="7"/>
      <c r="H203" s="7"/>
      <c r="I203" s="7"/>
      <c r="J203" s="7"/>
    </row>
    <row r="204" spans="2:10" ht="21.2" customHeight="1" x14ac:dyDescent="0.25">
      <c r="B204" s="6">
        <v>54101</v>
      </c>
      <c r="C204" s="6" t="s">
        <v>258</v>
      </c>
      <c r="D204" s="6"/>
      <c r="E204" s="7"/>
      <c r="F204" s="7"/>
      <c r="G204" s="7"/>
      <c r="H204" s="7"/>
      <c r="I204" s="7"/>
      <c r="J204" s="7"/>
    </row>
    <row r="205" spans="2:10" ht="21.2" customHeight="1" x14ac:dyDescent="0.25">
      <c r="B205" s="6">
        <v>54201</v>
      </c>
      <c r="C205" s="6" t="s">
        <v>259</v>
      </c>
      <c r="D205" s="6"/>
      <c r="E205" s="7"/>
      <c r="F205" s="7"/>
      <c r="G205" s="7"/>
      <c r="H205" s="7"/>
      <c r="I205" s="7"/>
      <c r="J205" s="7"/>
    </row>
    <row r="206" spans="2:10" ht="21.2" customHeight="1" x14ac:dyDescent="0.25">
      <c r="B206" s="6">
        <v>54301</v>
      </c>
      <c r="C206" s="6" t="s">
        <v>260</v>
      </c>
      <c r="D206" s="6"/>
      <c r="E206" s="7"/>
      <c r="F206" s="7"/>
      <c r="G206" s="7"/>
      <c r="H206" s="7"/>
      <c r="I206" s="7"/>
      <c r="J206" s="7"/>
    </row>
    <row r="207" spans="2:10" ht="21.2" customHeight="1" x14ac:dyDescent="0.25">
      <c r="B207" s="6">
        <v>54401</v>
      </c>
      <c r="C207" s="6" t="s">
        <v>261</v>
      </c>
      <c r="D207" s="6"/>
      <c r="E207" s="7"/>
      <c r="F207" s="7"/>
      <c r="G207" s="7"/>
      <c r="H207" s="7"/>
      <c r="I207" s="7"/>
      <c r="J207" s="7"/>
    </row>
    <row r="208" spans="2:10" ht="21.2" customHeight="1" x14ac:dyDescent="0.25">
      <c r="B208" s="6">
        <v>54501</v>
      </c>
      <c r="C208" s="6" t="s">
        <v>262</v>
      </c>
      <c r="D208" s="6"/>
      <c r="E208" s="7"/>
      <c r="F208" s="7"/>
      <c r="G208" s="7"/>
      <c r="H208" s="7"/>
      <c r="I208" s="7"/>
      <c r="J208" s="7"/>
    </row>
    <row r="209" spans="2:10" ht="21.2" customHeight="1" x14ac:dyDescent="0.25">
      <c r="B209" s="6">
        <v>54901</v>
      </c>
      <c r="C209" s="6" t="s">
        <v>263</v>
      </c>
      <c r="D209" s="6"/>
      <c r="E209" s="7"/>
      <c r="F209" s="7"/>
      <c r="G209" s="7"/>
      <c r="H209" s="7"/>
      <c r="I209" s="7"/>
      <c r="J209" s="7"/>
    </row>
    <row r="210" spans="2:10" ht="21.2" customHeight="1" x14ac:dyDescent="0.25">
      <c r="B210" s="6">
        <v>55101</v>
      </c>
      <c r="C210" s="6" t="s">
        <v>264</v>
      </c>
      <c r="D210" s="6"/>
      <c r="E210" s="7"/>
      <c r="F210" s="7"/>
      <c r="G210" s="7"/>
      <c r="H210" s="7"/>
      <c r="I210" s="7"/>
      <c r="J210" s="7"/>
    </row>
    <row r="211" spans="2:10" ht="21.2" customHeight="1" x14ac:dyDescent="0.25">
      <c r="B211" s="6">
        <v>56101</v>
      </c>
      <c r="C211" s="6" t="s">
        <v>265</v>
      </c>
      <c r="D211" s="6"/>
      <c r="E211" s="7"/>
      <c r="F211" s="7"/>
      <c r="G211" s="7"/>
      <c r="H211" s="7"/>
      <c r="I211" s="7"/>
      <c r="J211" s="7"/>
    </row>
    <row r="212" spans="2:10" ht="21.2" customHeight="1" x14ac:dyDescent="0.25">
      <c r="B212" s="6">
        <v>56201</v>
      </c>
      <c r="C212" s="6" t="s">
        <v>266</v>
      </c>
      <c r="D212" s="6"/>
      <c r="E212" s="7"/>
      <c r="F212" s="7"/>
      <c r="G212" s="7"/>
      <c r="H212" s="7"/>
      <c r="I212" s="7"/>
      <c r="J212" s="7"/>
    </row>
    <row r="213" spans="2:10" ht="21.2" customHeight="1" x14ac:dyDescent="0.25">
      <c r="B213" s="6">
        <v>56301</v>
      </c>
      <c r="C213" s="6" t="s">
        <v>267</v>
      </c>
      <c r="D213" s="6"/>
      <c r="E213" s="7"/>
      <c r="F213" s="7"/>
      <c r="G213" s="7"/>
      <c r="H213" s="7"/>
      <c r="I213" s="7"/>
      <c r="J213" s="7"/>
    </row>
    <row r="214" spans="2:10" ht="21.2" customHeight="1" x14ac:dyDescent="0.25">
      <c r="B214" s="6">
        <v>56401</v>
      </c>
      <c r="C214" s="6" t="s">
        <v>268</v>
      </c>
      <c r="D214" s="6"/>
      <c r="E214" s="7"/>
      <c r="F214" s="7"/>
      <c r="G214" s="7"/>
      <c r="H214" s="7"/>
      <c r="I214" s="7"/>
      <c r="J214" s="7"/>
    </row>
    <row r="215" spans="2:10" ht="21.2" customHeight="1" x14ac:dyDescent="0.25">
      <c r="B215" s="6">
        <v>56501</v>
      </c>
      <c r="C215" s="6" t="s">
        <v>269</v>
      </c>
      <c r="D215" s="6"/>
      <c r="E215" s="7"/>
      <c r="F215" s="7"/>
      <c r="G215" s="7"/>
      <c r="H215" s="7"/>
      <c r="I215" s="7"/>
      <c r="J215" s="7"/>
    </row>
    <row r="216" spans="2:10" ht="20.45" customHeight="1" x14ac:dyDescent="0.25">
      <c r="B216" s="6">
        <v>56601</v>
      </c>
      <c r="C216" s="6" t="s">
        <v>270</v>
      </c>
      <c r="D216" s="6"/>
      <c r="E216" s="7"/>
      <c r="F216" s="7" t="s">
        <v>1</v>
      </c>
      <c r="G216" s="7"/>
      <c r="H216" s="7"/>
      <c r="I216" s="7"/>
      <c r="J216" s="7"/>
    </row>
    <row r="217" spans="2:10" ht="21.2" customHeight="1" x14ac:dyDescent="0.25">
      <c r="B217" s="6">
        <v>56701</v>
      </c>
      <c r="C217" s="6" t="s">
        <v>271</v>
      </c>
      <c r="D217" s="6"/>
      <c r="E217" s="7"/>
      <c r="F217" s="7"/>
      <c r="G217" s="7"/>
      <c r="H217" s="7"/>
      <c r="I217" s="7"/>
      <c r="J217" s="7"/>
    </row>
    <row r="218" spans="2:10" ht="21.2" customHeight="1" x14ac:dyDescent="0.25">
      <c r="B218" s="6">
        <v>56901</v>
      </c>
      <c r="C218" s="6" t="s">
        <v>272</v>
      </c>
      <c r="D218" s="6"/>
      <c r="E218" s="7"/>
      <c r="F218" s="7"/>
      <c r="G218" s="7"/>
      <c r="H218" s="7"/>
      <c r="I218" s="7"/>
      <c r="J218" s="7"/>
    </row>
    <row r="219" spans="2:10" ht="21.2" customHeight="1" x14ac:dyDescent="0.25">
      <c r="B219" s="6">
        <v>56902</v>
      </c>
      <c r="C219" s="6" t="s">
        <v>273</v>
      </c>
      <c r="D219" s="6"/>
      <c r="E219" s="7"/>
      <c r="F219" s="7"/>
      <c r="G219" s="7"/>
      <c r="H219" s="7"/>
      <c r="I219" s="7"/>
      <c r="J219" s="7"/>
    </row>
    <row r="220" spans="2:10" ht="21.2" customHeight="1" x14ac:dyDescent="0.25">
      <c r="B220" s="6">
        <v>57101</v>
      </c>
      <c r="C220" s="6" t="s">
        <v>274</v>
      </c>
      <c r="D220" s="6"/>
      <c r="E220" s="7"/>
      <c r="F220" s="7"/>
      <c r="G220" s="7"/>
      <c r="H220" s="7"/>
      <c r="I220" s="7"/>
      <c r="J220" s="7"/>
    </row>
    <row r="221" spans="2:10" ht="21.2" customHeight="1" x14ac:dyDescent="0.25">
      <c r="B221" s="6">
        <v>57201</v>
      </c>
      <c r="C221" s="6" t="s">
        <v>275</v>
      </c>
      <c r="D221" s="6"/>
      <c r="E221" s="7"/>
      <c r="F221" s="7"/>
      <c r="G221" s="7"/>
      <c r="H221" s="7"/>
      <c r="I221" s="7"/>
      <c r="J221" s="7"/>
    </row>
    <row r="222" spans="2:10" ht="21.2" customHeight="1" x14ac:dyDescent="0.25">
      <c r="B222" s="6">
        <v>57301</v>
      </c>
      <c r="C222" s="6" t="s">
        <v>276</v>
      </c>
      <c r="D222" s="6"/>
      <c r="E222" s="7"/>
      <c r="F222" s="7"/>
      <c r="G222" s="7"/>
      <c r="H222" s="7"/>
      <c r="I222" s="7"/>
      <c r="J222" s="7"/>
    </row>
    <row r="223" spans="2:10" ht="21.2" customHeight="1" x14ac:dyDescent="0.25">
      <c r="B223" s="6">
        <v>57401</v>
      </c>
      <c r="C223" s="6" t="s">
        <v>277</v>
      </c>
      <c r="D223" s="6"/>
      <c r="E223" s="7"/>
      <c r="F223" s="7"/>
      <c r="G223" s="7"/>
      <c r="H223" s="7"/>
      <c r="I223" s="7"/>
      <c r="J223" s="7"/>
    </row>
    <row r="224" spans="2:10" ht="21.2" customHeight="1" x14ac:dyDescent="0.25">
      <c r="B224" s="6">
        <v>57501</v>
      </c>
      <c r="C224" s="6" t="s">
        <v>278</v>
      </c>
      <c r="D224" s="6"/>
      <c r="E224" s="7"/>
      <c r="F224" s="7"/>
      <c r="G224" s="7"/>
      <c r="H224" s="7"/>
      <c r="I224" s="7"/>
      <c r="J224" s="7"/>
    </row>
    <row r="225" spans="2:10" ht="21.2" customHeight="1" x14ac:dyDescent="0.25">
      <c r="B225" s="6">
        <v>57601</v>
      </c>
      <c r="C225" s="6" t="s">
        <v>279</v>
      </c>
      <c r="D225" s="6"/>
      <c r="E225" s="7"/>
      <c r="F225" s="7"/>
      <c r="G225" s="7"/>
      <c r="H225" s="7"/>
      <c r="I225" s="7"/>
      <c r="J225" s="7"/>
    </row>
    <row r="226" spans="2:10" ht="21.2" customHeight="1" x14ac:dyDescent="0.25">
      <c r="B226" s="6">
        <v>57701</v>
      </c>
      <c r="C226" s="6" t="s">
        <v>280</v>
      </c>
      <c r="D226" s="6"/>
      <c r="E226" s="7"/>
      <c r="F226" s="7"/>
      <c r="G226" s="7"/>
      <c r="H226" s="7"/>
      <c r="I226" s="7"/>
      <c r="J226" s="7"/>
    </row>
    <row r="227" spans="2:10" ht="21.2" customHeight="1" x14ac:dyDescent="0.25">
      <c r="B227" s="6">
        <v>57801</v>
      </c>
      <c r="C227" s="6" t="s">
        <v>281</v>
      </c>
      <c r="D227" s="6"/>
      <c r="E227" s="7"/>
      <c r="F227" s="7"/>
      <c r="G227" s="7"/>
      <c r="H227" s="7"/>
      <c r="I227" s="7"/>
      <c r="J227" s="7"/>
    </row>
    <row r="228" spans="2:10" ht="21.2" customHeight="1" x14ac:dyDescent="0.25">
      <c r="B228" s="6">
        <v>57901</v>
      </c>
      <c r="C228" s="6" t="s">
        <v>282</v>
      </c>
      <c r="D228" s="6"/>
      <c r="E228" s="7"/>
      <c r="F228" s="7"/>
      <c r="G228" s="7"/>
      <c r="H228" s="7"/>
      <c r="I228" s="7"/>
      <c r="J228" s="7"/>
    </row>
    <row r="229" spans="2:10" ht="21.2" customHeight="1" x14ac:dyDescent="0.25">
      <c r="B229" s="6">
        <v>58101</v>
      </c>
      <c r="C229" s="6" t="s">
        <v>283</v>
      </c>
      <c r="D229" s="6"/>
      <c r="E229" s="7"/>
      <c r="F229" s="7"/>
      <c r="G229" s="7"/>
      <c r="H229" s="7"/>
      <c r="I229" s="7"/>
      <c r="J229" s="7"/>
    </row>
    <row r="230" spans="2:10" ht="21.2" customHeight="1" x14ac:dyDescent="0.25">
      <c r="B230" s="6">
        <v>58201</v>
      </c>
      <c r="C230" s="6" t="s">
        <v>284</v>
      </c>
      <c r="D230" s="6"/>
      <c r="E230" s="7"/>
      <c r="F230" s="7"/>
      <c r="G230" s="7"/>
      <c r="H230" s="7"/>
      <c r="I230" s="7"/>
      <c r="J230" s="7"/>
    </row>
    <row r="231" spans="2:10" ht="21.2" customHeight="1" x14ac:dyDescent="0.25">
      <c r="B231" s="6">
        <v>58301</v>
      </c>
      <c r="C231" s="6" t="s">
        <v>285</v>
      </c>
      <c r="D231" s="6"/>
      <c r="E231" s="7"/>
      <c r="F231" s="7"/>
      <c r="G231" s="7"/>
      <c r="H231" s="7"/>
      <c r="I231" s="7"/>
      <c r="J231" s="7"/>
    </row>
    <row r="232" spans="2:10" ht="21.2" customHeight="1" x14ac:dyDescent="0.25">
      <c r="B232" s="6">
        <v>58901</v>
      </c>
      <c r="C232" s="6" t="s">
        <v>286</v>
      </c>
      <c r="D232" s="6"/>
      <c r="E232" s="7"/>
      <c r="F232" s="7"/>
      <c r="G232" s="7"/>
      <c r="H232" s="7"/>
      <c r="I232" s="7"/>
      <c r="J232" s="7"/>
    </row>
    <row r="233" spans="2:10" ht="21.2" customHeight="1" x14ac:dyDescent="0.25">
      <c r="B233" s="6">
        <v>59101</v>
      </c>
      <c r="C233" s="6" t="s">
        <v>287</v>
      </c>
      <c r="D233" s="6"/>
      <c r="E233" s="7"/>
      <c r="F233" s="7"/>
      <c r="G233" s="7"/>
      <c r="H233" s="7"/>
      <c r="I233" s="7"/>
      <c r="J233" s="7"/>
    </row>
    <row r="234" spans="2:10" ht="21.2" customHeight="1" x14ac:dyDescent="0.25">
      <c r="B234" s="6">
        <v>59201</v>
      </c>
      <c r="C234" s="6" t="s">
        <v>288</v>
      </c>
      <c r="D234" s="6"/>
      <c r="E234" s="7"/>
      <c r="F234" s="7"/>
      <c r="G234" s="7"/>
      <c r="H234" s="7"/>
      <c r="I234" s="7"/>
      <c r="J234" s="7"/>
    </row>
    <row r="235" spans="2:10" ht="21.2" customHeight="1" x14ac:dyDescent="0.25">
      <c r="B235" s="6">
        <v>59301</v>
      </c>
      <c r="C235" s="6" t="s">
        <v>289</v>
      </c>
      <c r="D235" s="6"/>
      <c r="E235" s="7"/>
      <c r="F235" s="7"/>
      <c r="G235" s="7"/>
      <c r="H235" s="7"/>
      <c r="I235" s="7"/>
      <c r="J235" s="7"/>
    </row>
    <row r="236" spans="2:10" ht="21.2" customHeight="1" x14ac:dyDescent="0.25">
      <c r="B236" s="6">
        <v>59401</v>
      </c>
      <c r="C236" s="6" t="s">
        <v>290</v>
      </c>
      <c r="D236" s="6"/>
      <c r="E236" s="7"/>
      <c r="F236" s="7"/>
      <c r="G236" s="7"/>
      <c r="H236" s="7"/>
      <c r="I236" s="7"/>
      <c r="J236" s="7"/>
    </row>
    <row r="237" spans="2:10" ht="21.2" customHeight="1" x14ac:dyDescent="0.25">
      <c r="B237" s="6">
        <v>59501</v>
      </c>
      <c r="C237" s="6" t="s">
        <v>291</v>
      </c>
      <c r="D237" s="6"/>
      <c r="E237" s="7"/>
      <c r="F237" s="7"/>
      <c r="G237" s="7"/>
      <c r="H237" s="7"/>
      <c r="I237" s="7"/>
      <c r="J237" s="7"/>
    </row>
    <row r="238" spans="2:10" ht="21.2" customHeight="1" x14ac:dyDescent="0.25">
      <c r="B238" s="6">
        <v>59601</v>
      </c>
      <c r="C238" s="6" t="s">
        <v>292</v>
      </c>
      <c r="D238" s="6"/>
      <c r="E238" s="7"/>
      <c r="F238" s="7"/>
      <c r="G238" s="7"/>
      <c r="H238" s="7"/>
      <c r="I238" s="7"/>
      <c r="J238" s="7"/>
    </row>
    <row r="239" spans="2:10" ht="21.2" customHeight="1" x14ac:dyDescent="0.25">
      <c r="B239" s="6">
        <v>59701</v>
      </c>
      <c r="C239" s="6" t="s">
        <v>293</v>
      </c>
      <c r="D239" s="6"/>
      <c r="E239" s="7"/>
      <c r="F239" s="7"/>
      <c r="G239" s="7"/>
      <c r="H239" s="7"/>
      <c r="I239" s="7"/>
      <c r="J239" s="7"/>
    </row>
    <row r="240" spans="2:10" ht="21.2" customHeight="1" x14ac:dyDescent="0.25">
      <c r="B240" s="6">
        <v>59801</v>
      </c>
      <c r="C240" s="6" t="s">
        <v>294</v>
      </c>
      <c r="D240" s="6"/>
      <c r="E240" s="7"/>
      <c r="F240" s="7"/>
      <c r="G240" s="7"/>
      <c r="H240" s="7"/>
      <c r="I240" s="7"/>
      <c r="J240" s="7"/>
    </row>
    <row r="241" spans="2:10" ht="21.2" customHeight="1" x14ac:dyDescent="0.25">
      <c r="B241" s="6">
        <v>59901</v>
      </c>
      <c r="C241" s="6" t="s">
        <v>295</v>
      </c>
      <c r="D241" s="6"/>
      <c r="E241" s="7"/>
      <c r="F241" s="7"/>
      <c r="G241" s="7"/>
      <c r="H241" s="7"/>
      <c r="I241" s="7"/>
      <c r="J241" s="7"/>
    </row>
    <row r="242" spans="2:10" ht="20.45" customHeight="1" x14ac:dyDescent="0.25">
      <c r="B242" s="6">
        <v>61101</v>
      </c>
      <c r="C242" s="6" t="s">
        <v>296</v>
      </c>
      <c r="D242" s="6"/>
      <c r="E242" s="7"/>
      <c r="F242" s="7" t="s">
        <v>1</v>
      </c>
      <c r="G242" s="7"/>
      <c r="H242" s="7"/>
      <c r="I242" s="7"/>
      <c r="J242" s="7"/>
    </row>
    <row r="243" spans="2:10" ht="21.2" customHeight="1" x14ac:dyDescent="0.25">
      <c r="B243" s="6">
        <v>61201</v>
      </c>
      <c r="C243" s="6" t="s">
        <v>297</v>
      </c>
      <c r="D243" s="6"/>
      <c r="E243" s="7"/>
      <c r="F243" s="7"/>
      <c r="G243" s="7"/>
      <c r="H243" s="7"/>
      <c r="I243" s="7"/>
      <c r="J243" s="7"/>
    </row>
    <row r="244" spans="2:10" ht="21.2" customHeight="1" x14ac:dyDescent="0.25">
      <c r="B244" s="6">
        <v>61301</v>
      </c>
      <c r="C244" s="6" t="s">
        <v>298</v>
      </c>
      <c r="D244" s="6"/>
      <c r="E244" s="7"/>
      <c r="F244" s="7"/>
      <c r="G244" s="7"/>
      <c r="H244" s="7"/>
      <c r="I244" s="7"/>
      <c r="J244" s="7"/>
    </row>
    <row r="245" spans="2:10" ht="21.2" customHeight="1" x14ac:dyDescent="0.25">
      <c r="B245" s="6">
        <v>61302</v>
      </c>
      <c r="C245" s="6" t="s">
        <v>299</v>
      </c>
      <c r="D245" s="6"/>
      <c r="E245" s="7"/>
      <c r="F245" s="7"/>
      <c r="G245" s="7"/>
      <c r="H245" s="7"/>
      <c r="I245" s="7"/>
      <c r="J245" s="7"/>
    </row>
    <row r="246" spans="2:10" ht="21.2" customHeight="1" x14ac:dyDescent="0.25">
      <c r="B246" s="6">
        <v>61303</v>
      </c>
      <c r="C246" s="6" t="s">
        <v>300</v>
      </c>
      <c r="D246" s="6"/>
      <c r="E246" s="7"/>
      <c r="F246" s="7"/>
      <c r="G246" s="7"/>
      <c r="H246" s="7"/>
      <c r="I246" s="7"/>
      <c r="J246" s="7"/>
    </row>
    <row r="247" spans="2:10" ht="21.2" customHeight="1" x14ac:dyDescent="0.25">
      <c r="B247" s="6">
        <v>61401</v>
      </c>
      <c r="C247" s="6" t="s">
        <v>301</v>
      </c>
      <c r="D247" s="6"/>
      <c r="E247" s="7"/>
      <c r="F247" s="7"/>
      <c r="G247" s="7"/>
      <c r="H247" s="7"/>
      <c r="I247" s="7"/>
      <c r="J247" s="7"/>
    </row>
    <row r="248" spans="2:10" ht="21.2" customHeight="1" x14ac:dyDescent="0.25">
      <c r="B248" s="6">
        <v>61402</v>
      </c>
      <c r="C248" s="6" t="s">
        <v>302</v>
      </c>
      <c r="D248" s="6"/>
      <c r="E248" s="7"/>
      <c r="F248" s="7"/>
      <c r="G248" s="7"/>
      <c r="H248" s="7"/>
      <c r="I248" s="7"/>
      <c r="J248" s="7"/>
    </row>
    <row r="249" spans="2:10" ht="21.2" customHeight="1" x14ac:dyDescent="0.25">
      <c r="B249" s="6">
        <v>61501</v>
      </c>
      <c r="C249" s="6" t="s">
        <v>303</v>
      </c>
      <c r="D249" s="6"/>
      <c r="E249" s="7"/>
      <c r="F249" s="7"/>
      <c r="G249" s="7"/>
      <c r="H249" s="7"/>
      <c r="I249" s="7"/>
      <c r="J249" s="7"/>
    </row>
    <row r="250" spans="2:10" ht="21.2" customHeight="1" x14ac:dyDescent="0.25">
      <c r="B250" s="6">
        <v>61601</v>
      </c>
      <c r="C250" s="6" t="s">
        <v>304</v>
      </c>
      <c r="D250" s="6"/>
      <c r="E250" s="7"/>
      <c r="F250" s="7"/>
      <c r="G250" s="7"/>
      <c r="H250" s="7"/>
      <c r="I250" s="7"/>
      <c r="J250" s="7"/>
    </row>
    <row r="251" spans="2:10" ht="21.2" customHeight="1" x14ac:dyDescent="0.25">
      <c r="B251" s="6">
        <v>61701</v>
      </c>
      <c r="C251" s="6" t="s">
        <v>305</v>
      </c>
      <c r="D251" s="6"/>
      <c r="E251" s="7"/>
      <c r="F251" s="7"/>
      <c r="G251" s="7"/>
      <c r="H251" s="7"/>
      <c r="I251" s="7"/>
      <c r="J251" s="7"/>
    </row>
    <row r="252" spans="2:10" ht="21.2" customHeight="1" x14ac:dyDescent="0.25">
      <c r="B252" s="6">
        <v>61901</v>
      </c>
      <c r="C252" s="6" t="s">
        <v>306</v>
      </c>
      <c r="D252" s="6"/>
      <c r="E252" s="7"/>
      <c r="F252" s="7"/>
      <c r="G252" s="7"/>
      <c r="H252" s="7"/>
      <c r="I252" s="7"/>
      <c r="J252" s="7"/>
    </row>
    <row r="253" spans="2:10" ht="21.2" customHeight="1" x14ac:dyDescent="0.25">
      <c r="B253" s="6">
        <v>62101</v>
      </c>
      <c r="C253" s="6" t="s">
        <v>296</v>
      </c>
      <c r="D253" s="6"/>
      <c r="E253" s="7"/>
      <c r="F253" s="7"/>
      <c r="G253" s="7"/>
      <c r="H253" s="7"/>
      <c r="I253" s="7"/>
      <c r="J253" s="7"/>
    </row>
    <row r="254" spans="2:10" ht="21.2" customHeight="1" x14ac:dyDescent="0.25">
      <c r="B254" s="6">
        <v>62111</v>
      </c>
      <c r="C254" s="6" t="s">
        <v>307</v>
      </c>
      <c r="D254" s="6"/>
      <c r="E254" s="7"/>
      <c r="F254" s="7"/>
      <c r="G254" s="7"/>
      <c r="H254" s="7"/>
      <c r="I254" s="7"/>
      <c r="J254" s="7"/>
    </row>
    <row r="255" spans="2:10" ht="21.2" customHeight="1" x14ac:dyDescent="0.25">
      <c r="B255" s="6">
        <v>62201</v>
      </c>
      <c r="C255" s="6" t="s">
        <v>308</v>
      </c>
      <c r="D255" s="6"/>
      <c r="E255" s="7"/>
      <c r="F255" s="7"/>
      <c r="G255" s="7"/>
      <c r="H255" s="7"/>
      <c r="I255" s="7"/>
      <c r="J255" s="7"/>
    </row>
    <row r="256" spans="2:10" ht="21.2" customHeight="1" x14ac:dyDescent="0.25">
      <c r="B256" s="6">
        <v>62202</v>
      </c>
      <c r="C256" s="6" t="s">
        <v>309</v>
      </c>
      <c r="D256" s="6"/>
      <c r="E256" s="7"/>
      <c r="F256" s="7"/>
      <c r="G256" s="7"/>
      <c r="H256" s="7"/>
      <c r="I256" s="7"/>
      <c r="J256" s="7"/>
    </row>
    <row r="257" spans="2:10" ht="21.2" customHeight="1" x14ac:dyDescent="0.25">
      <c r="B257" s="6">
        <v>62203</v>
      </c>
      <c r="C257" s="6" t="s">
        <v>310</v>
      </c>
      <c r="D257" s="6"/>
      <c r="E257" s="7"/>
      <c r="F257" s="7"/>
      <c r="G257" s="7"/>
      <c r="H257" s="7"/>
      <c r="I257" s="7"/>
      <c r="J257" s="7"/>
    </row>
    <row r="258" spans="2:10" ht="21.2" customHeight="1" x14ac:dyDescent="0.25">
      <c r="B258" s="6">
        <v>62204</v>
      </c>
      <c r="C258" s="6" t="s">
        <v>311</v>
      </c>
      <c r="D258" s="6"/>
      <c r="E258" s="7"/>
      <c r="F258" s="7"/>
      <c r="G258" s="7"/>
      <c r="H258" s="7"/>
      <c r="I258" s="7"/>
      <c r="J258" s="7"/>
    </row>
    <row r="259" spans="2:10" ht="21.2" customHeight="1" x14ac:dyDescent="0.25">
      <c r="B259" s="6">
        <v>62205</v>
      </c>
      <c r="C259" s="6" t="s">
        <v>312</v>
      </c>
      <c r="D259" s="6"/>
      <c r="E259" s="7"/>
      <c r="F259" s="7"/>
      <c r="G259" s="7"/>
      <c r="H259" s="7"/>
      <c r="I259" s="7"/>
      <c r="J259" s="7"/>
    </row>
    <row r="260" spans="2:10" ht="20.45" customHeight="1" x14ac:dyDescent="0.25">
      <c r="B260" s="6">
        <v>62206</v>
      </c>
      <c r="C260" s="6" t="s">
        <v>313</v>
      </c>
      <c r="D260" s="6"/>
      <c r="E260" s="7"/>
      <c r="F260" s="7"/>
      <c r="G260" s="7"/>
      <c r="H260" s="7"/>
      <c r="I260" s="7"/>
      <c r="J260" s="7"/>
    </row>
    <row r="261" spans="2:10" ht="21.2" customHeight="1" x14ac:dyDescent="0.25">
      <c r="B261" s="6">
        <v>62207</v>
      </c>
      <c r="C261" s="6" t="s">
        <v>314</v>
      </c>
      <c r="D261" s="6"/>
      <c r="E261" s="7"/>
      <c r="F261" s="7"/>
      <c r="G261" s="7"/>
      <c r="H261" s="7"/>
      <c r="I261" s="7"/>
      <c r="J261" s="7"/>
    </row>
    <row r="262" spans="2:10" ht="21.2" customHeight="1" x14ac:dyDescent="0.25">
      <c r="B262" s="6">
        <v>62208</v>
      </c>
      <c r="C262" s="6" t="s">
        <v>315</v>
      </c>
      <c r="D262" s="6"/>
      <c r="E262" s="7"/>
      <c r="F262" s="7"/>
      <c r="G262" s="7"/>
      <c r="H262" s="7"/>
      <c r="I262" s="7"/>
      <c r="J262" s="7"/>
    </row>
    <row r="263" spans="2:10" ht="21.2" customHeight="1" x14ac:dyDescent="0.25">
      <c r="B263" s="6">
        <v>62211</v>
      </c>
      <c r="C263" s="6" t="s">
        <v>316</v>
      </c>
      <c r="D263" s="6"/>
      <c r="E263" s="7"/>
      <c r="F263" s="7"/>
      <c r="G263" s="7"/>
      <c r="H263" s="7"/>
      <c r="I263" s="7"/>
      <c r="J263" s="7"/>
    </row>
    <row r="264" spans="2:10" ht="21.2" customHeight="1" x14ac:dyDescent="0.25">
      <c r="B264" s="6">
        <v>62212</v>
      </c>
      <c r="C264" s="6" t="s">
        <v>317</v>
      </c>
      <c r="D264" s="6"/>
      <c r="E264" s="7"/>
      <c r="F264" s="7"/>
      <c r="G264" s="7"/>
      <c r="H264" s="7"/>
      <c r="I264" s="7"/>
      <c r="J264" s="7"/>
    </row>
    <row r="265" spans="2:10" ht="21.2" customHeight="1" x14ac:dyDescent="0.25">
      <c r="B265" s="6">
        <v>62213</v>
      </c>
      <c r="C265" s="6" t="s">
        <v>318</v>
      </c>
      <c r="D265" s="6"/>
      <c r="E265" s="7"/>
      <c r="F265" s="7"/>
      <c r="G265" s="7"/>
      <c r="H265" s="7"/>
      <c r="I265" s="7"/>
      <c r="J265" s="7"/>
    </row>
    <row r="266" spans="2:10" ht="21.2" customHeight="1" x14ac:dyDescent="0.25">
      <c r="B266" s="6">
        <v>62214</v>
      </c>
      <c r="C266" s="6" t="s">
        <v>319</v>
      </c>
      <c r="D266" s="6"/>
      <c r="E266" s="7"/>
      <c r="F266" s="7"/>
      <c r="G266" s="7"/>
      <c r="H266" s="7"/>
      <c r="I266" s="7"/>
      <c r="J266" s="7"/>
    </row>
    <row r="267" spans="2:10" ht="21.2" customHeight="1" x14ac:dyDescent="0.25">
      <c r="B267" s="6">
        <v>62215</v>
      </c>
      <c r="C267" s="6" t="s">
        <v>320</v>
      </c>
      <c r="D267" s="6"/>
      <c r="E267" s="7"/>
      <c r="F267" s="7"/>
      <c r="G267" s="7"/>
      <c r="H267" s="7"/>
      <c r="I267" s="7"/>
      <c r="J267" s="7"/>
    </row>
    <row r="268" spans="2:10" ht="21.2" customHeight="1" x14ac:dyDescent="0.25">
      <c r="B268" s="6">
        <v>62216</v>
      </c>
      <c r="C268" s="6" t="s">
        <v>321</v>
      </c>
      <c r="D268" s="6"/>
      <c r="E268" s="7"/>
      <c r="F268" s="7"/>
      <c r="G268" s="7"/>
      <c r="H268" s="7"/>
      <c r="I268" s="7"/>
      <c r="J268" s="7"/>
    </row>
    <row r="269" spans="2:10" ht="21.2" customHeight="1" x14ac:dyDescent="0.25">
      <c r="B269" s="6">
        <v>62217</v>
      </c>
      <c r="C269" s="6" t="s">
        <v>322</v>
      </c>
      <c r="D269" s="6"/>
      <c r="E269" s="7"/>
      <c r="F269" s="7"/>
      <c r="G269" s="7"/>
      <c r="H269" s="7"/>
      <c r="I269" s="7"/>
      <c r="J269" s="7"/>
    </row>
    <row r="270" spans="2:10" ht="21.2" customHeight="1" x14ac:dyDescent="0.25">
      <c r="B270" s="6">
        <v>62218</v>
      </c>
      <c r="C270" s="6" t="s">
        <v>323</v>
      </c>
      <c r="D270" s="6"/>
      <c r="E270" s="7"/>
      <c r="F270" s="7"/>
      <c r="G270" s="7"/>
      <c r="H270" s="7"/>
      <c r="I270" s="7"/>
      <c r="J270" s="7"/>
    </row>
    <row r="271" spans="2:10" ht="21.2" customHeight="1" x14ac:dyDescent="0.25">
      <c r="B271" s="6">
        <v>62301</v>
      </c>
      <c r="C271" s="6" t="s">
        <v>324</v>
      </c>
      <c r="D271" s="6"/>
      <c r="E271" s="7"/>
      <c r="F271" s="7"/>
      <c r="G271" s="7"/>
      <c r="H271" s="7"/>
      <c r="I271" s="7"/>
      <c r="J271" s="7"/>
    </row>
    <row r="272" spans="2:10" ht="21.2" customHeight="1" x14ac:dyDescent="0.25">
      <c r="B272" s="6">
        <v>62311</v>
      </c>
      <c r="C272" s="6" t="s">
        <v>325</v>
      </c>
      <c r="D272" s="6"/>
      <c r="E272" s="7"/>
      <c r="F272" s="7"/>
      <c r="G272" s="7"/>
      <c r="H272" s="7"/>
      <c r="I272" s="7"/>
      <c r="J272" s="7"/>
    </row>
    <row r="273" spans="2:10" ht="21.2" customHeight="1" x14ac:dyDescent="0.25">
      <c r="B273" s="6">
        <v>62401</v>
      </c>
      <c r="C273" s="6" t="s">
        <v>301</v>
      </c>
      <c r="D273" s="6"/>
      <c r="E273" s="7"/>
      <c r="F273" s="7"/>
      <c r="G273" s="7"/>
      <c r="H273" s="7"/>
      <c r="I273" s="7"/>
      <c r="J273" s="7"/>
    </row>
    <row r="274" spans="2:10" ht="21.2" customHeight="1" x14ac:dyDescent="0.25">
      <c r="B274" s="6">
        <v>62411</v>
      </c>
      <c r="C274" s="6" t="s">
        <v>326</v>
      </c>
      <c r="D274" s="6"/>
      <c r="E274" s="7"/>
      <c r="F274" s="7"/>
      <c r="G274" s="7"/>
      <c r="H274" s="7"/>
      <c r="I274" s="7"/>
      <c r="J274" s="7"/>
    </row>
    <row r="275" spans="2:10" ht="21.2" customHeight="1" x14ac:dyDescent="0.25">
      <c r="B275" s="6">
        <v>62501</v>
      </c>
      <c r="C275" s="6" t="s">
        <v>303</v>
      </c>
      <c r="D275" s="6"/>
      <c r="E275" s="7"/>
      <c r="F275" s="7"/>
      <c r="G275" s="7"/>
      <c r="H275" s="7"/>
      <c r="I275" s="7"/>
      <c r="J275" s="7"/>
    </row>
    <row r="276" spans="2:10" ht="21.2" customHeight="1" x14ac:dyDescent="0.25">
      <c r="B276" s="6">
        <v>62511</v>
      </c>
      <c r="C276" s="6" t="s">
        <v>327</v>
      </c>
      <c r="D276" s="6"/>
      <c r="E276" s="7"/>
      <c r="F276" s="7"/>
      <c r="G276" s="7"/>
      <c r="H276" s="7"/>
      <c r="I276" s="7"/>
      <c r="J276" s="7"/>
    </row>
    <row r="277" spans="2:10" ht="21.2" customHeight="1" x14ac:dyDescent="0.25">
      <c r="B277" s="6">
        <v>62521</v>
      </c>
      <c r="C277" s="6" t="s">
        <v>328</v>
      </c>
      <c r="D277" s="6"/>
      <c r="E277" s="7"/>
      <c r="F277" s="7"/>
      <c r="G277" s="7"/>
      <c r="H277" s="7"/>
      <c r="I277" s="7"/>
      <c r="J277" s="7"/>
    </row>
    <row r="278" spans="2:10" ht="21.2" customHeight="1" x14ac:dyDescent="0.25">
      <c r="B278" s="6">
        <v>62601</v>
      </c>
      <c r="C278" s="6" t="s">
        <v>304</v>
      </c>
      <c r="D278" s="6"/>
      <c r="E278" s="7"/>
      <c r="F278" s="7"/>
      <c r="G278" s="7"/>
      <c r="H278" s="7"/>
      <c r="I278" s="7"/>
      <c r="J278" s="7"/>
    </row>
    <row r="279" spans="2:10" ht="21.2" customHeight="1" x14ac:dyDescent="0.25">
      <c r="B279" s="6">
        <v>62701</v>
      </c>
      <c r="C279" s="6" t="s">
        <v>305</v>
      </c>
      <c r="D279" s="6"/>
      <c r="E279" s="7"/>
      <c r="F279" s="7"/>
      <c r="G279" s="7"/>
      <c r="H279" s="7"/>
      <c r="I279" s="7"/>
      <c r="J279" s="7"/>
    </row>
    <row r="280" spans="2:10" ht="21.2" customHeight="1" x14ac:dyDescent="0.25">
      <c r="B280" s="6">
        <v>62901</v>
      </c>
      <c r="C280" s="6" t="s">
        <v>306</v>
      </c>
      <c r="D280" s="6"/>
      <c r="E280" s="7"/>
      <c r="F280" s="7"/>
      <c r="G280" s="7"/>
      <c r="H280" s="7"/>
      <c r="I280" s="7"/>
      <c r="J280" s="7"/>
    </row>
    <row r="281" spans="2:10" ht="21.2" customHeight="1" x14ac:dyDescent="0.25">
      <c r="B281" s="6">
        <v>63101</v>
      </c>
      <c r="C281" s="6" t="s">
        <v>329</v>
      </c>
      <c r="D281" s="6"/>
      <c r="E281" s="7"/>
      <c r="F281" s="7"/>
      <c r="G281" s="7"/>
      <c r="H281" s="7"/>
      <c r="I281" s="7"/>
      <c r="J281" s="7"/>
    </row>
    <row r="282" spans="2:10" ht="21.2" customHeight="1" x14ac:dyDescent="0.25">
      <c r="B282" s="6">
        <v>63201</v>
      </c>
      <c r="C282" s="6" t="s">
        <v>330</v>
      </c>
      <c r="D282" s="6"/>
      <c r="E282" s="7"/>
      <c r="F282" s="7"/>
      <c r="G282" s="7"/>
      <c r="H282" s="7"/>
      <c r="I282" s="7"/>
      <c r="J282" s="7"/>
    </row>
    <row r="283" spans="2:10" ht="21.2" customHeight="1" x14ac:dyDescent="0.25">
      <c r="B283" s="6">
        <v>63202</v>
      </c>
      <c r="C283" s="6" t="s">
        <v>331</v>
      </c>
      <c r="D283" s="6"/>
      <c r="E283" s="7"/>
      <c r="F283" s="7"/>
      <c r="G283" s="7"/>
      <c r="H283" s="7"/>
      <c r="I283" s="7"/>
      <c r="J283" s="7"/>
    </row>
    <row r="284" spans="2:10" ht="21.2" customHeight="1" x14ac:dyDescent="0.25">
      <c r="B284" s="6">
        <v>63203</v>
      </c>
      <c r="C284" s="6" t="s">
        <v>332</v>
      </c>
      <c r="D284" s="6"/>
      <c r="E284" s="7"/>
      <c r="F284" s="7"/>
      <c r="G284" s="7"/>
      <c r="H284" s="7"/>
      <c r="I284" s="7"/>
      <c r="J284" s="7"/>
    </row>
    <row r="285" spans="2:10" ht="21.2" customHeight="1" x14ac:dyDescent="0.25">
      <c r="B285" s="6">
        <v>63204</v>
      </c>
      <c r="C285" s="6" t="s">
        <v>333</v>
      </c>
      <c r="D285" s="6"/>
      <c r="E285" s="7"/>
      <c r="F285" s="7"/>
      <c r="G285" s="7"/>
      <c r="H285" s="7"/>
      <c r="I285" s="7"/>
      <c r="J285" s="7"/>
    </row>
    <row r="286" spans="2:10" ht="21.2" customHeight="1" x14ac:dyDescent="0.25">
      <c r="B286" s="6">
        <v>63205</v>
      </c>
      <c r="C286" s="6" t="s">
        <v>334</v>
      </c>
      <c r="D286" s="6"/>
      <c r="E286" s="7"/>
      <c r="F286" s="7"/>
      <c r="G286" s="7"/>
      <c r="H286" s="7"/>
      <c r="I286" s="7"/>
      <c r="J286" s="7"/>
    </row>
    <row r="287" spans="2:10" ht="21.2" customHeight="1" x14ac:dyDescent="0.25">
      <c r="B287" s="6">
        <v>63206</v>
      </c>
      <c r="C287" s="6" t="s">
        <v>335</v>
      </c>
      <c r="D287" s="6"/>
      <c r="E287" s="7"/>
      <c r="F287" s="7"/>
      <c r="G287" s="7"/>
      <c r="H287" s="7"/>
      <c r="I287" s="7"/>
      <c r="J287" s="7"/>
    </row>
    <row r="288" spans="2:10" ht="21.2" customHeight="1" x14ac:dyDescent="0.25">
      <c r="B288" s="6">
        <v>63207</v>
      </c>
      <c r="C288" s="6" t="s">
        <v>336</v>
      </c>
      <c r="D288" s="6"/>
      <c r="E288" s="7"/>
      <c r="F288" s="7"/>
      <c r="G288" s="7"/>
      <c r="H288" s="7"/>
      <c r="I288" s="7"/>
      <c r="J288" s="7"/>
    </row>
    <row r="289" spans="2:10" ht="21.2" customHeight="1" x14ac:dyDescent="0.25">
      <c r="B289" s="6">
        <v>63208</v>
      </c>
      <c r="C289" s="6" t="s">
        <v>337</v>
      </c>
      <c r="D289" s="6"/>
      <c r="E289" s="7"/>
      <c r="F289" s="7"/>
      <c r="G289" s="7"/>
      <c r="H289" s="7"/>
      <c r="I289" s="7"/>
      <c r="J289" s="7"/>
    </row>
    <row r="290" spans="2:10" ht="21.2" customHeight="1" x14ac:dyDescent="0.25">
      <c r="B290" s="6">
        <v>63209</v>
      </c>
      <c r="C290" s="6" t="s">
        <v>338</v>
      </c>
      <c r="D290" s="6"/>
      <c r="E290" s="7"/>
      <c r="F290" s="7"/>
      <c r="G290" s="7"/>
      <c r="H290" s="7"/>
      <c r="I290" s="7"/>
      <c r="J290"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16129-F052-4589-9FDF-721F48FE4594}">
  <sheetPr codeName="Hoja5"/>
  <dimension ref="A2:E104"/>
  <sheetViews>
    <sheetView topLeftCell="A66" zoomScale="115" zoomScaleNormal="115" workbookViewId="0">
      <selection activeCell="C69" sqref="C69"/>
    </sheetView>
  </sheetViews>
  <sheetFormatPr baseColWidth="10" defaultColWidth="11.42578125" defaultRowHeight="15.75" x14ac:dyDescent="0.25"/>
  <cols>
    <col min="1" max="1" width="10" bestFit="1" customWidth="1"/>
    <col min="2" max="2" width="11.28515625" style="4" bestFit="1" customWidth="1"/>
    <col min="3" max="3" width="62.42578125" style="4" customWidth="1"/>
  </cols>
  <sheetData>
    <row r="2" spans="1:5" x14ac:dyDescent="0.25">
      <c r="B2" s="4" t="s">
        <v>52</v>
      </c>
      <c r="C2" s="4" t="s">
        <v>50</v>
      </c>
    </row>
    <row r="3" spans="1:5" ht="18.75" customHeight="1" x14ac:dyDescent="0.25">
      <c r="A3" s="2"/>
      <c r="B3" s="10" t="str">
        <f>+TEXT(E3,"000")</f>
        <v>001</v>
      </c>
      <c r="C3" s="3" t="s">
        <v>351</v>
      </c>
      <c r="E3" s="10" t="s">
        <v>447</v>
      </c>
    </row>
    <row r="4" spans="1:5" ht="18.75" customHeight="1" x14ac:dyDescent="0.25">
      <c r="A4" s="2"/>
      <c r="B4" s="10" t="str">
        <f t="shared" ref="B4:B67" si="0">+TEXT(E4,"000")</f>
        <v>002</v>
      </c>
      <c r="C4" s="3" t="s">
        <v>352</v>
      </c>
      <c r="E4" s="10" t="s">
        <v>448</v>
      </c>
    </row>
    <row r="5" spans="1:5" ht="18.75" customHeight="1" x14ac:dyDescent="0.25">
      <c r="A5" s="2"/>
      <c r="B5" s="10" t="str">
        <f t="shared" si="0"/>
        <v>003</v>
      </c>
      <c r="C5" s="3" t="s">
        <v>353</v>
      </c>
      <c r="E5" s="10" t="s">
        <v>449</v>
      </c>
    </row>
    <row r="6" spans="1:5" ht="18.75" customHeight="1" x14ac:dyDescent="0.25">
      <c r="A6" s="2"/>
      <c r="B6" s="10" t="str">
        <f t="shared" si="0"/>
        <v>004</v>
      </c>
      <c r="C6" s="3" t="s">
        <v>354</v>
      </c>
      <c r="E6" s="10" t="s">
        <v>450</v>
      </c>
    </row>
    <row r="7" spans="1:5" ht="18.75" customHeight="1" x14ac:dyDescent="0.25">
      <c r="A7" s="2"/>
      <c r="B7" s="10" t="str">
        <f t="shared" si="0"/>
        <v>005</v>
      </c>
      <c r="C7" s="3" t="s">
        <v>355</v>
      </c>
      <c r="E7" s="10" t="s">
        <v>451</v>
      </c>
    </row>
    <row r="8" spans="1:5" ht="18.75" customHeight="1" x14ac:dyDescent="0.25">
      <c r="A8" s="2"/>
      <c r="B8" s="10" t="str">
        <f t="shared" si="0"/>
        <v>006</v>
      </c>
      <c r="C8" s="3" t="s">
        <v>356</v>
      </c>
      <c r="E8" s="10" t="s">
        <v>452</v>
      </c>
    </row>
    <row r="9" spans="1:5" ht="18.75" customHeight="1" x14ac:dyDescent="0.25">
      <c r="A9" s="2"/>
      <c r="B9" s="10" t="str">
        <f t="shared" si="0"/>
        <v>007</v>
      </c>
      <c r="C9" s="3" t="s">
        <v>357</v>
      </c>
      <c r="E9" s="10" t="s">
        <v>453</v>
      </c>
    </row>
    <row r="10" spans="1:5" ht="18.75" customHeight="1" x14ac:dyDescent="0.25">
      <c r="A10" s="2"/>
      <c r="B10" s="10" t="str">
        <f t="shared" si="0"/>
        <v>008</v>
      </c>
      <c r="C10" s="3" t="s">
        <v>358</v>
      </c>
      <c r="E10" s="10" t="s">
        <v>454</v>
      </c>
    </row>
    <row r="11" spans="1:5" ht="18.75" customHeight="1" x14ac:dyDescent="0.25">
      <c r="A11" s="2"/>
      <c r="B11" s="10" t="str">
        <f t="shared" si="0"/>
        <v>009</v>
      </c>
      <c r="C11" s="3" t="s">
        <v>359</v>
      </c>
      <c r="E11" s="10" t="s">
        <v>455</v>
      </c>
    </row>
    <row r="12" spans="1:5" ht="18.75" customHeight="1" x14ac:dyDescent="0.25">
      <c r="A12" s="2"/>
      <c r="B12" s="10" t="str">
        <f t="shared" si="0"/>
        <v>010</v>
      </c>
      <c r="C12" s="3" t="s">
        <v>360</v>
      </c>
      <c r="E12" s="10" t="s">
        <v>456</v>
      </c>
    </row>
    <row r="13" spans="1:5" ht="18.75" customHeight="1" x14ac:dyDescent="0.25">
      <c r="A13" s="2"/>
      <c r="B13" s="10" t="str">
        <f t="shared" si="0"/>
        <v>011</v>
      </c>
      <c r="C13" s="3" t="s">
        <v>361</v>
      </c>
      <c r="E13" s="10" t="s">
        <v>457</v>
      </c>
    </row>
    <row r="14" spans="1:5" ht="18.75" customHeight="1" x14ac:dyDescent="0.25">
      <c r="A14" s="2"/>
      <c r="B14" s="10" t="str">
        <f t="shared" si="0"/>
        <v>012</v>
      </c>
      <c r="C14" s="3" t="s">
        <v>362</v>
      </c>
      <c r="E14" s="10" t="s">
        <v>458</v>
      </c>
    </row>
    <row r="15" spans="1:5" ht="18.75" customHeight="1" x14ac:dyDescent="0.25">
      <c r="A15" s="2"/>
      <c r="B15" s="10" t="str">
        <f t="shared" si="0"/>
        <v>013</v>
      </c>
      <c r="C15" s="3" t="s">
        <v>363</v>
      </c>
      <c r="E15" s="10" t="s">
        <v>459</v>
      </c>
    </row>
    <row r="16" spans="1:5" ht="18.75" customHeight="1" x14ac:dyDescent="0.25">
      <c r="A16" s="2"/>
      <c r="B16" s="10" t="str">
        <f t="shared" si="0"/>
        <v>014</v>
      </c>
      <c r="C16" s="3" t="s">
        <v>364</v>
      </c>
      <c r="E16" s="10" t="s">
        <v>460</v>
      </c>
    </row>
    <row r="17" spans="1:5" ht="18.75" customHeight="1" x14ac:dyDescent="0.25">
      <c r="A17" s="2"/>
      <c r="B17" s="10" t="str">
        <f t="shared" si="0"/>
        <v>015</v>
      </c>
      <c r="C17" s="3" t="s">
        <v>365</v>
      </c>
      <c r="E17" s="10" t="s">
        <v>461</v>
      </c>
    </row>
    <row r="18" spans="1:5" ht="18.75" customHeight="1" x14ac:dyDescent="0.25">
      <c r="A18" s="2"/>
      <c r="B18" s="10" t="str">
        <f t="shared" si="0"/>
        <v>016</v>
      </c>
      <c r="C18" s="3" t="s">
        <v>366</v>
      </c>
      <c r="E18" s="10" t="s">
        <v>462</v>
      </c>
    </row>
    <row r="19" spans="1:5" ht="18.75" customHeight="1" x14ac:dyDescent="0.25">
      <c r="A19" s="2"/>
      <c r="B19" s="10" t="str">
        <f t="shared" si="0"/>
        <v>017</v>
      </c>
      <c r="C19" s="3" t="s">
        <v>367</v>
      </c>
      <c r="E19" s="10" t="s">
        <v>463</v>
      </c>
    </row>
    <row r="20" spans="1:5" ht="18.75" customHeight="1" x14ac:dyDescent="0.25">
      <c r="A20" s="2"/>
      <c r="B20" s="10" t="str">
        <f t="shared" si="0"/>
        <v>018</v>
      </c>
      <c r="C20" s="3" t="s">
        <v>368</v>
      </c>
      <c r="E20" s="10" t="s">
        <v>464</v>
      </c>
    </row>
    <row r="21" spans="1:5" ht="18.75" customHeight="1" x14ac:dyDescent="0.25">
      <c r="A21" s="2"/>
      <c r="B21" s="10" t="str">
        <f t="shared" si="0"/>
        <v>019</v>
      </c>
      <c r="C21" s="3" t="s">
        <v>369</v>
      </c>
      <c r="E21" s="10" t="s">
        <v>465</v>
      </c>
    </row>
    <row r="22" spans="1:5" ht="18.75" customHeight="1" x14ac:dyDescent="0.25">
      <c r="A22" s="2"/>
      <c r="B22" s="10" t="str">
        <f t="shared" si="0"/>
        <v>020</v>
      </c>
      <c r="C22" s="3" t="s">
        <v>370</v>
      </c>
      <c r="E22" s="10" t="s">
        <v>466</v>
      </c>
    </row>
    <row r="23" spans="1:5" ht="18.75" customHeight="1" x14ac:dyDescent="0.25">
      <c r="A23" s="2"/>
      <c r="B23" s="10" t="str">
        <f t="shared" si="0"/>
        <v>021</v>
      </c>
      <c r="C23" s="3" t="s">
        <v>371</v>
      </c>
      <c r="E23" s="10" t="s">
        <v>467</v>
      </c>
    </row>
    <row r="24" spans="1:5" ht="18.75" customHeight="1" x14ac:dyDescent="0.25">
      <c r="A24" s="2"/>
      <c r="B24" s="10" t="str">
        <f t="shared" si="0"/>
        <v>022</v>
      </c>
      <c r="C24" s="3" t="s">
        <v>372</v>
      </c>
      <c r="E24" s="10" t="s">
        <v>468</v>
      </c>
    </row>
    <row r="25" spans="1:5" ht="18.75" customHeight="1" x14ac:dyDescent="0.25">
      <c r="A25" s="2"/>
      <c r="B25" s="10" t="str">
        <f t="shared" si="0"/>
        <v>023</v>
      </c>
      <c r="C25" s="3" t="s">
        <v>373</v>
      </c>
      <c r="E25" s="10" t="s">
        <v>469</v>
      </c>
    </row>
    <row r="26" spans="1:5" ht="18.75" customHeight="1" x14ac:dyDescent="0.25">
      <c r="A26" s="2"/>
      <c r="B26" s="10" t="str">
        <f t="shared" si="0"/>
        <v>024</v>
      </c>
      <c r="C26" s="3" t="s">
        <v>374</v>
      </c>
      <c r="E26" s="10" t="s">
        <v>470</v>
      </c>
    </row>
    <row r="27" spans="1:5" ht="18.75" customHeight="1" x14ac:dyDescent="0.25">
      <c r="A27" s="2"/>
      <c r="B27" s="10" t="str">
        <f t="shared" si="0"/>
        <v>025</v>
      </c>
      <c r="C27" s="3" t="s">
        <v>375</v>
      </c>
      <c r="E27" s="10" t="s">
        <v>471</v>
      </c>
    </row>
    <row r="28" spans="1:5" ht="18.75" customHeight="1" x14ac:dyDescent="0.25">
      <c r="A28" s="2"/>
      <c r="B28" s="10" t="str">
        <f t="shared" si="0"/>
        <v>026</v>
      </c>
      <c r="C28" s="3" t="s">
        <v>376</v>
      </c>
      <c r="E28" s="10" t="s">
        <v>350</v>
      </c>
    </row>
    <row r="29" spans="1:5" ht="18.75" customHeight="1" x14ac:dyDescent="0.25">
      <c r="A29" s="2"/>
      <c r="B29" s="10" t="str">
        <f t="shared" si="0"/>
        <v>027</v>
      </c>
      <c r="C29" s="3" t="s">
        <v>377</v>
      </c>
      <c r="E29" s="10" t="s">
        <v>472</v>
      </c>
    </row>
    <row r="30" spans="1:5" ht="18.75" customHeight="1" x14ac:dyDescent="0.25">
      <c r="A30" s="2"/>
      <c r="B30" s="10" t="str">
        <f t="shared" si="0"/>
        <v>028</v>
      </c>
      <c r="C30" s="3" t="s">
        <v>378</v>
      </c>
      <c r="E30" s="10" t="s">
        <v>473</v>
      </c>
    </row>
    <row r="31" spans="1:5" ht="18.75" customHeight="1" x14ac:dyDescent="0.25">
      <c r="A31" s="2"/>
      <c r="B31" s="10" t="str">
        <f t="shared" si="0"/>
        <v>029</v>
      </c>
      <c r="C31" s="3" t="s">
        <v>379</v>
      </c>
      <c r="E31" s="10" t="s">
        <v>474</v>
      </c>
    </row>
    <row r="32" spans="1:5" ht="18.75" customHeight="1" x14ac:dyDescent="0.25">
      <c r="A32" s="2"/>
      <c r="B32" s="10" t="str">
        <f t="shared" si="0"/>
        <v>030</v>
      </c>
      <c r="C32" s="3" t="s">
        <v>380</v>
      </c>
      <c r="E32" s="10" t="s">
        <v>475</v>
      </c>
    </row>
    <row r="33" spans="1:5" ht="18.75" customHeight="1" x14ac:dyDescent="0.25">
      <c r="A33" s="2"/>
      <c r="B33" s="10" t="str">
        <f t="shared" si="0"/>
        <v>031</v>
      </c>
      <c r="C33" s="3" t="s">
        <v>381</v>
      </c>
      <c r="E33" s="10" t="s">
        <v>476</v>
      </c>
    </row>
    <row r="34" spans="1:5" ht="18.75" customHeight="1" x14ac:dyDescent="0.25">
      <c r="A34" s="2"/>
      <c r="B34" s="10" t="str">
        <f t="shared" si="0"/>
        <v>032</v>
      </c>
      <c r="C34" s="3" t="s">
        <v>382</v>
      </c>
      <c r="E34" s="10" t="s">
        <v>477</v>
      </c>
    </row>
    <row r="35" spans="1:5" ht="18.75" customHeight="1" x14ac:dyDescent="0.25">
      <c r="A35" s="2"/>
      <c r="B35" s="10" t="str">
        <f t="shared" si="0"/>
        <v>033</v>
      </c>
      <c r="C35" s="3" t="s">
        <v>388</v>
      </c>
      <c r="E35" s="10" t="s">
        <v>478</v>
      </c>
    </row>
    <row r="36" spans="1:5" ht="18.75" customHeight="1" x14ac:dyDescent="0.25">
      <c r="A36" s="2"/>
      <c r="B36" s="10" t="str">
        <f t="shared" si="0"/>
        <v>034</v>
      </c>
      <c r="C36" s="3" t="s">
        <v>383</v>
      </c>
      <c r="E36" s="10" t="s">
        <v>479</v>
      </c>
    </row>
    <row r="37" spans="1:5" ht="18.75" customHeight="1" x14ac:dyDescent="0.25">
      <c r="A37" s="2"/>
      <c r="B37" s="10" t="str">
        <f t="shared" si="0"/>
        <v>035</v>
      </c>
      <c r="C37" s="3" t="s">
        <v>384</v>
      </c>
      <c r="E37" s="10" t="s">
        <v>480</v>
      </c>
    </row>
    <row r="38" spans="1:5" ht="18.75" customHeight="1" x14ac:dyDescent="0.25">
      <c r="A38" s="2"/>
      <c r="B38" s="10" t="str">
        <f t="shared" si="0"/>
        <v>036</v>
      </c>
      <c r="C38" s="3" t="s">
        <v>385</v>
      </c>
      <c r="E38" s="10" t="s">
        <v>481</v>
      </c>
    </row>
    <row r="39" spans="1:5" ht="18.75" customHeight="1" x14ac:dyDescent="0.25">
      <c r="A39" s="2"/>
      <c r="B39" s="10" t="str">
        <f t="shared" si="0"/>
        <v>037</v>
      </c>
      <c r="C39" s="3" t="s">
        <v>386</v>
      </c>
      <c r="E39" s="10" t="s">
        <v>482</v>
      </c>
    </row>
    <row r="40" spans="1:5" ht="18.75" customHeight="1" x14ac:dyDescent="0.25">
      <c r="A40" s="2"/>
      <c r="B40" s="10" t="str">
        <f t="shared" si="0"/>
        <v>038</v>
      </c>
      <c r="C40" s="3" t="s">
        <v>387</v>
      </c>
      <c r="E40" s="10" t="s">
        <v>483</v>
      </c>
    </row>
    <row r="41" spans="1:5" ht="18.75" customHeight="1" x14ac:dyDescent="0.25">
      <c r="A41" s="2"/>
      <c r="B41" s="10" t="str">
        <f t="shared" si="0"/>
        <v>039</v>
      </c>
      <c r="C41" s="3" t="s">
        <v>389</v>
      </c>
      <c r="E41" s="10" t="s">
        <v>484</v>
      </c>
    </row>
    <row r="42" spans="1:5" ht="18.75" customHeight="1" x14ac:dyDescent="0.25">
      <c r="A42" s="2"/>
      <c r="B42" s="10" t="str">
        <f t="shared" si="0"/>
        <v>040</v>
      </c>
      <c r="C42" s="3" t="s">
        <v>390</v>
      </c>
      <c r="E42" s="10" t="s">
        <v>485</v>
      </c>
    </row>
    <row r="43" spans="1:5" ht="18.75" customHeight="1" x14ac:dyDescent="0.25">
      <c r="A43" s="2"/>
      <c r="B43" s="10" t="str">
        <f t="shared" si="0"/>
        <v>041</v>
      </c>
      <c r="C43" s="3" t="s">
        <v>391</v>
      </c>
      <c r="E43" s="10" t="s">
        <v>486</v>
      </c>
    </row>
    <row r="44" spans="1:5" ht="18.75" customHeight="1" x14ac:dyDescent="0.25">
      <c r="A44" s="2"/>
      <c r="B44" s="10" t="str">
        <f t="shared" si="0"/>
        <v>042</v>
      </c>
      <c r="C44" s="3" t="s">
        <v>392</v>
      </c>
      <c r="E44" s="10" t="s">
        <v>487</v>
      </c>
    </row>
    <row r="45" spans="1:5" ht="18.75" customHeight="1" x14ac:dyDescent="0.25">
      <c r="A45" s="2"/>
      <c r="B45" s="10" t="str">
        <f t="shared" si="0"/>
        <v>043</v>
      </c>
      <c r="C45" s="3" t="s">
        <v>393</v>
      </c>
      <c r="E45" s="10" t="s">
        <v>488</v>
      </c>
    </row>
    <row r="46" spans="1:5" ht="18.75" customHeight="1" x14ac:dyDescent="0.25">
      <c r="A46" s="2"/>
      <c r="B46" s="10" t="str">
        <f t="shared" si="0"/>
        <v>044</v>
      </c>
      <c r="C46" s="3" t="s">
        <v>394</v>
      </c>
      <c r="E46" s="10" t="s">
        <v>489</v>
      </c>
    </row>
    <row r="47" spans="1:5" ht="18.75" customHeight="1" x14ac:dyDescent="0.25">
      <c r="A47" s="2"/>
      <c r="B47" s="10" t="str">
        <f t="shared" si="0"/>
        <v>045</v>
      </c>
      <c r="C47" s="3" t="s">
        <v>395</v>
      </c>
      <c r="E47" s="10" t="s">
        <v>490</v>
      </c>
    </row>
    <row r="48" spans="1:5" ht="18.75" customHeight="1" x14ac:dyDescent="0.25">
      <c r="A48" s="2"/>
      <c r="B48" s="10" t="str">
        <f t="shared" si="0"/>
        <v>046</v>
      </c>
      <c r="C48" s="3" t="s">
        <v>396</v>
      </c>
      <c r="E48" s="10" t="s">
        <v>491</v>
      </c>
    </row>
    <row r="49" spans="1:5" ht="18.75" customHeight="1" x14ac:dyDescent="0.25">
      <c r="A49" s="2"/>
      <c r="B49" s="10" t="str">
        <f t="shared" si="0"/>
        <v>047</v>
      </c>
      <c r="C49" s="3" t="s">
        <v>397</v>
      </c>
      <c r="E49" s="10" t="s">
        <v>492</v>
      </c>
    </row>
    <row r="50" spans="1:5" ht="18.75" customHeight="1" x14ac:dyDescent="0.25">
      <c r="A50" s="2"/>
      <c r="B50" s="10" t="str">
        <f t="shared" si="0"/>
        <v>048</v>
      </c>
      <c r="C50" s="3" t="s">
        <v>398</v>
      </c>
      <c r="E50" s="10" t="s">
        <v>493</v>
      </c>
    </row>
    <row r="51" spans="1:5" ht="18.75" customHeight="1" x14ac:dyDescent="0.25">
      <c r="A51" s="2"/>
      <c r="B51" s="10" t="str">
        <f t="shared" si="0"/>
        <v>049</v>
      </c>
      <c r="C51" s="3" t="s">
        <v>399</v>
      </c>
      <c r="E51" s="10" t="s">
        <v>494</v>
      </c>
    </row>
    <row r="52" spans="1:5" ht="18.75" customHeight="1" x14ac:dyDescent="0.25">
      <c r="A52" s="2"/>
      <c r="B52" s="10" t="str">
        <f t="shared" si="0"/>
        <v>050</v>
      </c>
      <c r="C52" s="3" t="s">
        <v>400</v>
      </c>
      <c r="E52" s="10" t="s">
        <v>495</v>
      </c>
    </row>
    <row r="53" spans="1:5" ht="18.75" customHeight="1" x14ac:dyDescent="0.25">
      <c r="A53" s="2"/>
      <c r="B53" s="10" t="str">
        <f t="shared" si="0"/>
        <v>051</v>
      </c>
      <c r="C53" s="3" t="s">
        <v>401</v>
      </c>
      <c r="E53" s="10" t="s">
        <v>496</v>
      </c>
    </row>
    <row r="54" spans="1:5" ht="18.75" customHeight="1" x14ac:dyDescent="0.25">
      <c r="A54" s="2"/>
      <c r="B54" s="10" t="str">
        <f t="shared" si="0"/>
        <v>052</v>
      </c>
      <c r="C54" s="3" t="s">
        <v>402</v>
      </c>
      <c r="E54" s="10" t="s">
        <v>497</v>
      </c>
    </row>
    <row r="55" spans="1:5" ht="18.75" customHeight="1" x14ac:dyDescent="0.25">
      <c r="A55" s="2"/>
      <c r="B55" s="10" t="str">
        <f t="shared" si="0"/>
        <v>053</v>
      </c>
      <c r="C55" s="3" t="s">
        <v>403</v>
      </c>
      <c r="E55" s="10" t="s">
        <v>498</v>
      </c>
    </row>
    <row r="56" spans="1:5" ht="18.75" customHeight="1" x14ac:dyDescent="0.25">
      <c r="A56" s="2"/>
      <c r="B56" s="10" t="str">
        <f t="shared" si="0"/>
        <v>054</v>
      </c>
      <c r="C56" s="3" t="s">
        <v>404</v>
      </c>
      <c r="E56" s="10" t="s">
        <v>499</v>
      </c>
    </row>
    <row r="57" spans="1:5" ht="18.75" customHeight="1" x14ac:dyDescent="0.25">
      <c r="A57" s="2"/>
      <c r="B57" s="10" t="str">
        <f t="shared" si="0"/>
        <v>055</v>
      </c>
      <c r="C57" s="3" t="s">
        <v>405</v>
      </c>
      <c r="E57" s="10" t="s">
        <v>500</v>
      </c>
    </row>
    <row r="58" spans="1:5" ht="18.75" customHeight="1" x14ac:dyDescent="0.25">
      <c r="A58" s="2"/>
      <c r="B58" s="10" t="str">
        <f t="shared" si="0"/>
        <v>056</v>
      </c>
      <c r="C58" s="3" t="s">
        <v>406</v>
      </c>
      <c r="E58" s="10" t="s">
        <v>501</v>
      </c>
    </row>
    <row r="59" spans="1:5" ht="18.75" customHeight="1" x14ac:dyDescent="0.25">
      <c r="A59" s="2"/>
      <c r="B59" s="10" t="str">
        <f t="shared" si="0"/>
        <v>057</v>
      </c>
      <c r="C59" s="3" t="s">
        <v>407</v>
      </c>
      <c r="E59" s="10" t="s">
        <v>502</v>
      </c>
    </row>
    <row r="60" spans="1:5" ht="18.75" customHeight="1" x14ac:dyDescent="0.25">
      <c r="A60" s="2"/>
      <c r="B60" s="10" t="str">
        <f t="shared" si="0"/>
        <v>058</v>
      </c>
      <c r="C60" s="3" t="s">
        <v>408</v>
      </c>
      <c r="E60" s="10" t="s">
        <v>503</v>
      </c>
    </row>
    <row r="61" spans="1:5" ht="18.75" customHeight="1" x14ac:dyDescent="0.25">
      <c r="A61" s="2"/>
      <c r="B61" s="10" t="str">
        <f t="shared" si="0"/>
        <v>059</v>
      </c>
      <c r="C61" s="3" t="s">
        <v>409</v>
      </c>
      <c r="E61" s="10" t="s">
        <v>504</v>
      </c>
    </row>
    <row r="62" spans="1:5" ht="18.75" customHeight="1" x14ac:dyDescent="0.25">
      <c r="A62" s="2"/>
      <c r="B62" s="10" t="str">
        <f t="shared" si="0"/>
        <v>060</v>
      </c>
      <c r="C62" s="3" t="s">
        <v>410</v>
      </c>
      <c r="E62" s="10" t="s">
        <v>505</v>
      </c>
    </row>
    <row r="63" spans="1:5" ht="18.75" customHeight="1" x14ac:dyDescent="0.25">
      <c r="A63" s="2"/>
      <c r="B63" s="10" t="str">
        <f t="shared" si="0"/>
        <v>061</v>
      </c>
      <c r="C63" s="3" t="s">
        <v>411</v>
      </c>
      <c r="E63" s="10" t="s">
        <v>506</v>
      </c>
    </row>
    <row r="64" spans="1:5" ht="18.75" customHeight="1" x14ac:dyDescent="0.25">
      <c r="A64" s="2"/>
      <c r="B64" s="10" t="str">
        <f t="shared" si="0"/>
        <v>062</v>
      </c>
      <c r="C64" s="3" t="s">
        <v>412</v>
      </c>
      <c r="E64" s="10" t="s">
        <v>507</v>
      </c>
    </row>
    <row r="65" spans="1:5" ht="18.75" customHeight="1" x14ac:dyDescent="0.25">
      <c r="A65" s="2"/>
      <c r="B65" s="10" t="str">
        <f t="shared" si="0"/>
        <v>063</v>
      </c>
      <c r="C65" s="3" t="s">
        <v>413</v>
      </c>
      <c r="E65" s="10" t="s">
        <v>508</v>
      </c>
    </row>
    <row r="66" spans="1:5" ht="18.75" customHeight="1" x14ac:dyDescent="0.25">
      <c r="A66" s="2"/>
      <c r="B66" s="10" t="str">
        <f t="shared" si="0"/>
        <v>064</v>
      </c>
      <c r="C66" s="3" t="s">
        <v>414</v>
      </c>
      <c r="E66" s="10" t="s">
        <v>509</v>
      </c>
    </row>
    <row r="67" spans="1:5" ht="18.75" customHeight="1" x14ac:dyDescent="0.25">
      <c r="A67" s="2"/>
      <c r="B67" s="10" t="str">
        <f t="shared" si="0"/>
        <v>065</v>
      </c>
      <c r="C67" s="3" t="s">
        <v>415</v>
      </c>
      <c r="E67" s="10" t="s">
        <v>510</v>
      </c>
    </row>
    <row r="68" spans="1:5" ht="18.75" customHeight="1" x14ac:dyDescent="0.25">
      <c r="A68" s="2"/>
      <c r="B68" s="10" t="str">
        <f t="shared" ref="B68:B99" si="1">+TEXT(E68,"000")</f>
        <v>066</v>
      </c>
      <c r="C68" s="3" t="s">
        <v>416</v>
      </c>
      <c r="E68" s="10" t="s">
        <v>511</v>
      </c>
    </row>
    <row r="69" spans="1:5" ht="18.75" customHeight="1" x14ac:dyDescent="0.25">
      <c r="A69" s="2"/>
      <c r="B69" s="10" t="str">
        <f t="shared" si="1"/>
        <v>067</v>
      </c>
      <c r="C69" s="3" t="s">
        <v>417</v>
      </c>
      <c r="E69" s="10" t="s">
        <v>512</v>
      </c>
    </row>
    <row r="70" spans="1:5" ht="18.75" customHeight="1" x14ac:dyDescent="0.25">
      <c r="A70" s="2"/>
      <c r="B70" s="10" t="str">
        <f t="shared" si="1"/>
        <v>068</v>
      </c>
      <c r="C70" s="3" t="s">
        <v>418</v>
      </c>
      <c r="E70" s="10" t="s">
        <v>513</v>
      </c>
    </row>
    <row r="71" spans="1:5" ht="18.75" customHeight="1" x14ac:dyDescent="0.25">
      <c r="A71" s="2"/>
      <c r="B71" s="10" t="str">
        <f t="shared" si="1"/>
        <v>069</v>
      </c>
      <c r="C71" s="3" t="s">
        <v>419</v>
      </c>
      <c r="E71" s="10" t="s">
        <v>514</v>
      </c>
    </row>
    <row r="72" spans="1:5" ht="18.75" customHeight="1" x14ac:dyDescent="0.25">
      <c r="A72" s="2"/>
      <c r="B72" s="10" t="str">
        <f t="shared" si="1"/>
        <v>070</v>
      </c>
      <c r="C72" s="3" t="s">
        <v>420</v>
      </c>
      <c r="E72" s="10" t="s">
        <v>515</v>
      </c>
    </row>
    <row r="73" spans="1:5" ht="18.75" customHeight="1" x14ac:dyDescent="0.25">
      <c r="A73" s="2"/>
      <c r="B73" s="10" t="str">
        <f t="shared" si="1"/>
        <v>071</v>
      </c>
      <c r="C73" s="3" t="s">
        <v>421</v>
      </c>
      <c r="E73" s="10" t="s">
        <v>516</v>
      </c>
    </row>
    <row r="74" spans="1:5" ht="18.75" customHeight="1" x14ac:dyDescent="0.25">
      <c r="A74" s="2"/>
      <c r="B74" s="10" t="str">
        <f t="shared" si="1"/>
        <v>072</v>
      </c>
      <c r="C74" s="3" t="s">
        <v>422</v>
      </c>
      <c r="E74" s="10" t="s">
        <v>517</v>
      </c>
    </row>
    <row r="75" spans="1:5" ht="18.75" customHeight="1" x14ac:dyDescent="0.25">
      <c r="A75" s="2"/>
      <c r="B75" s="10" t="str">
        <f t="shared" si="1"/>
        <v>073</v>
      </c>
      <c r="C75" s="3" t="s">
        <v>423</v>
      </c>
      <c r="E75" s="10" t="s">
        <v>518</v>
      </c>
    </row>
    <row r="76" spans="1:5" ht="18.75" customHeight="1" x14ac:dyDescent="0.25">
      <c r="A76" s="2"/>
      <c r="B76" s="10" t="str">
        <f t="shared" si="1"/>
        <v>074</v>
      </c>
      <c r="C76" s="3" t="s">
        <v>424</v>
      </c>
      <c r="E76" s="10" t="s">
        <v>519</v>
      </c>
    </row>
    <row r="77" spans="1:5" ht="18.75" customHeight="1" x14ac:dyDescent="0.25">
      <c r="A77" s="2"/>
      <c r="B77" s="10" t="str">
        <f t="shared" si="1"/>
        <v>075</v>
      </c>
      <c r="C77" s="3" t="s">
        <v>425</v>
      </c>
      <c r="E77" s="10" t="s">
        <v>520</v>
      </c>
    </row>
    <row r="78" spans="1:5" ht="18.75" customHeight="1" x14ac:dyDescent="0.25">
      <c r="A78" s="2"/>
      <c r="B78" s="10" t="str">
        <f t="shared" si="1"/>
        <v>076</v>
      </c>
      <c r="C78" s="3" t="s">
        <v>426</v>
      </c>
      <c r="E78" s="10" t="s">
        <v>521</v>
      </c>
    </row>
    <row r="79" spans="1:5" ht="18.75" customHeight="1" x14ac:dyDescent="0.25">
      <c r="A79" s="2"/>
      <c r="B79" s="10" t="str">
        <f t="shared" si="1"/>
        <v>077</v>
      </c>
      <c r="C79" s="3" t="s">
        <v>427</v>
      </c>
      <c r="E79" s="10" t="s">
        <v>522</v>
      </c>
    </row>
    <row r="80" spans="1:5" ht="18.75" customHeight="1" x14ac:dyDescent="0.25">
      <c r="A80" s="2"/>
      <c r="B80" s="10" t="str">
        <f t="shared" si="1"/>
        <v>078</v>
      </c>
      <c r="C80" s="3" t="s">
        <v>428</v>
      </c>
      <c r="E80" s="10" t="s">
        <v>523</v>
      </c>
    </row>
    <row r="81" spans="1:5" ht="18.75" customHeight="1" x14ac:dyDescent="0.25">
      <c r="A81" s="2"/>
      <c r="B81" s="10" t="str">
        <f t="shared" si="1"/>
        <v>079</v>
      </c>
      <c r="C81" s="3" t="s">
        <v>429</v>
      </c>
      <c r="E81" s="10" t="s">
        <v>524</v>
      </c>
    </row>
    <row r="82" spans="1:5" ht="18.75" customHeight="1" x14ac:dyDescent="0.25">
      <c r="A82" s="2"/>
      <c r="B82" s="10" t="str">
        <f t="shared" si="1"/>
        <v>080</v>
      </c>
      <c r="C82" s="3" t="s">
        <v>430</v>
      </c>
      <c r="E82" s="10" t="s">
        <v>525</v>
      </c>
    </row>
    <row r="83" spans="1:5" ht="18.75" customHeight="1" x14ac:dyDescent="0.25">
      <c r="A83" s="2"/>
      <c r="B83" s="10" t="str">
        <f t="shared" si="1"/>
        <v>081</v>
      </c>
      <c r="C83" s="3" t="s">
        <v>431</v>
      </c>
      <c r="E83" s="10" t="s">
        <v>526</v>
      </c>
    </row>
    <row r="84" spans="1:5" ht="18.75" customHeight="1" x14ac:dyDescent="0.25">
      <c r="A84" s="2"/>
      <c r="B84" s="10" t="str">
        <f t="shared" si="1"/>
        <v>082</v>
      </c>
      <c r="C84" s="3" t="s">
        <v>432</v>
      </c>
      <c r="E84" s="10" t="s">
        <v>527</v>
      </c>
    </row>
    <row r="85" spans="1:5" ht="18.75" customHeight="1" x14ac:dyDescent="0.25">
      <c r="A85" s="2"/>
      <c r="B85" s="10" t="str">
        <f t="shared" si="1"/>
        <v>083</v>
      </c>
      <c r="C85" s="3" t="s">
        <v>433</v>
      </c>
      <c r="E85" s="10" t="s">
        <v>528</v>
      </c>
    </row>
    <row r="86" spans="1:5" ht="18.75" customHeight="1" x14ac:dyDescent="0.25">
      <c r="A86" s="2"/>
      <c r="B86" s="10" t="str">
        <f t="shared" si="1"/>
        <v>084</v>
      </c>
      <c r="C86" s="3" t="s">
        <v>51</v>
      </c>
      <c r="E86" s="10" t="s">
        <v>529</v>
      </c>
    </row>
    <row r="87" spans="1:5" ht="18.75" customHeight="1" x14ac:dyDescent="0.25">
      <c r="A87" s="2"/>
      <c r="B87" s="10" t="str">
        <f t="shared" si="1"/>
        <v>085</v>
      </c>
      <c r="C87" s="3" t="s">
        <v>434</v>
      </c>
      <c r="E87" s="10" t="s">
        <v>530</v>
      </c>
    </row>
    <row r="88" spans="1:5" ht="18.75" customHeight="1" x14ac:dyDescent="0.25">
      <c r="A88" s="2"/>
      <c r="B88" s="10" t="str">
        <f t="shared" si="1"/>
        <v>086</v>
      </c>
      <c r="C88" s="3" t="s">
        <v>435</v>
      </c>
      <c r="E88" s="10" t="s">
        <v>531</v>
      </c>
    </row>
    <row r="89" spans="1:5" ht="18.75" customHeight="1" x14ac:dyDescent="0.25">
      <c r="A89" s="2"/>
      <c r="B89" s="10" t="str">
        <f t="shared" si="1"/>
        <v>087</v>
      </c>
      <c r="C89" s="3" t="s">
        <v>436</v>
      </c>
      <c r="E89" s="10" t="s">
        <v>532</v>
      </c>
    </row>
    <row r="90" spans="1:5" ht="18.75" customHeight="1" x14ac:dyDescent="0.25">
      <c r="A90" s="2"/>
      <c r="B90" s="10" t="str">
        <f t="shared" si="1"/>
        <v>088</v>
      </c>
      <c r="C90" s="3" t="s">
        <v>437</v>
      </c>
      <c r="E90" s="10" t="s">
        <v>533</v>
      </c>
    </row>
    <row r="91" spans="1:5" ht="18.75" customHeight="1" x14ac:dyDescent="0.25">
      <c r="A91" s="2"/>
      <c r="B91" s="10" t="str">
        <f t="shared" si="1"/>
        <v>089</v>
      </c>
      <c r="C91" s="3" t="s">
        <v>438</v>
      </c>
      <c r="E91" s="10" t="s">
        <v>534</v>
      </c>
    </row>
    <row r="92" spans="1:5" ht="18.75" customHeight="1" x14ac:dyDescent="0.25">
      <c r="A92" s="2"/>
      <c r="B92" s="10" t="str">
        <f t="shared" si="1"/>
        <v>090</v>
      </c>
      <c r="C92" s="3" t="s">
        <v>439</v>
      </c>
      <c r="E92" s="10" t="s">
        <v>535</v>
      </c>
    </row>
    <row r="93" spans="1:5" ht="18.75" customHeight="1" x14ac:dyDescent="0.25">
      <c r="A93" s="2"/>
      <c r="B93" s="10" t="str">
        <f t="shared" si="1"/>
        <v>091</v>
      </c>
      <c r="C93" s="3" t="s">
        <v>440</v>
      </c>
      <c r="E93" s="10" t="s">
        <v>536</v>
      </c>
    </row>
    <row r="94" spans="1:5" ht="18.75" customHeight="1" x14ac:dyDescent="0.25">
      <c r="A94" s="2"/>
      <c r="B94" s="10" t="str">
        <f t="shared" si="1"/>
        <v>092</v>
      </c>
      <c r="C94" s="3" t="s">
        <v>441</v>
      </c>
      <c r="E94" s="10" t="s">
        <v>537</v>
      </c>
    </row>
    <row r="95" spans="1:5" ht="18.75" customHeight="1" x14ac:dyDescent="0.25">
      <c r="A95" s="2"/>
      <c r="B95" s="10" t="str">
        <f t="shared" si="1"/>
        <v>093</v>
      </c>
      <c r="C95" s="3" t="s">
        <v>442</v>
      </c>
      <c r="E95" s="10" t="s">
        <v>538</v>
      </c>
    </row>
    <row r="96" spans="1:5" ht="18.75" customHeight="1" x14ac:dyDescent="0.25">
      <c r="A96" s="2"/>
      <c r="B96" s="10" t="str">
        <f t="shared" si="1"/>
        <v>094</v>
      </c>
      <c r="C96" s="3" t="s">
        <v>443</v>
      </c>
      <c r="E96" s="10" t="s">
        <v>539</v>
      </c>
    </row>
    <row r="97" spans="1:5" ht="18.75" customHeight="1" x14ac:dyDescent="0.25">
      <c r="A97" s="2"/>
      <c r="B97" s="10" t="str">
        <f t="shared" si="1"/>
        <v>095</v>
      </c>
      <c r="C97" s="3" t="s">
        <v>444</v>
      </c>
      <c r="E97" s="10" t="s">
        <v>540</v>
      </c>
    </row>
    <row r="98" spans="1:5" ht="18.75" customHeight="1" x14ac:dyDescent="0.25">
      <c r="A98" s="2"/>
      <c r="B98" s="10" t="str">
        <f t="shared" si="1"/>
        <v>096</v>
      </c>
      <c r="C98" s="3" t="s">
        <v>445</v>
      </c>
      <c r="E98" s="10" t="s">
        <v>541</v>
      </c>
    </row>
    <row r="99" spans="1:5" ht="18.75" customHeight="1" x14ac:dyDescent="0.25">
      <c r="A99" s="2"/>
      <c r="B99" s="10" t="str">
        <f t="shared" si="1"/>
        <v>097</v>
      </c>
      <c r="C99" s="3" t="s">
        <v>446</v>
      </c>
      <c r="E99" s="10" t="s">
        <v>542</v>
      </c>
    </row>
    <row r="100" spans="1:5" ht="18.75" customHeight="1" x14ac:dyDescent="0.25">
      <c r="A100" s="2"/>
      <c r="B100" s="10"/>
      <c r="C100" s="3"/>
      <c r="E100" s="10"/>
    </row>
    <row r="101" spans="1:5" ht="18.75" customHeight="1" x14ac:dyDescent="0.25">
      <c r="A101" s="2"/>
      <c r="B101" s="10"/>
      <c r="C101" s="3"/>
      <c r="E101" s="10"/>
    </row>
    <row r="102" spans="1:5" ht="18.75" customHeight="1" x14ac:dyDescent="0.25">
      <c r="A102" s="2"/>
      <c r="B102" s="10"/>
      <c r="C102" s="3"/>
      <c r="E102" s="10"/>
    </row>
    <row r="103" spans="1:5" ht="18.75" customHeight="1" x14ac:dyDescent="0.25">
      <c r="A103" s="2"/>
      <c r="B103" s="10"/>
      <c r="C103" s="3"/>
      <c r="E103" s="10"/>
    </row>
    <row r="104" spans="1:5" ht="18.75" customHeight="1" x14ac:dyDescent="0.25">
      <c r="A104" s="2"/>
      <c r="B104" s="10"/>
      <c r="C104" s="3"/>
      <c r="E104"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1D6F2-802B-466E-9E61-53AACAC31AF2}">
  <dimension ref="B2:C7"/>
  <sheetViews>
    <sheetView workbookViewId="0">
      <selection activeCell="F7" sqref="F7"/>
    </sheetView>
  </sheetViews>
  <sheetFormatPr baseColWidth="10" defaultRowHeight="15" x14ac:dyDescent="0.25"/>
  <sheetData>
    <row r="2" spans="2:3" x14ac:dyDescent="0.25">
      <c r="B2" t="s">
        <v>603</v>
      </c>
    </row>
    <row r="3" spans="2:3" x14ac:dyDescent="0.25">
      <c r="B3">
        <v>1</v>
      </c>
      <c r="C3" t="s">
        <v>604</v>
      </c>
    </row>
    <row r="4" spans="2:3" x14ac:dyDescent="0.25">
      <c r="B4">
        <v>2</v>
      </c>
      <c r="C4" t="s">
        <v>605</v>
      </c>
    </row>
    <row r="5" spans="2:3" x14ac:dyDescent="0.25">
      <c r="B5">
        <v>3</v>
      </c>
      <c r="C5" t="s">
        <v>606</v>
      </c>
    </row>
    <row r="6" spans="2:3" x14ac:dyDescent="0.25">
      <c r="B6">
        <v>4</v>
      </c>
      <c r="C6" t="s">
        <v>607</v>
      </c>
    </row>
    <row r="7" spans="2:3" x14ac:dyDescent="0.25">
      <c r="B7">
        <v>5</v>
      </c>
      <c r="C7" t="s">
        <v>608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0305-14D8-4378-9705-87962E1C1CCA}">
  <dimension ref="A2:N8"/>
  <sheetViews>
    <sheetView topLeftCell="D1" zoomScaleNormal="100" workbookViewId="0">
      <selection activeCell="N4" sqref="N4"/>
    </sheetView>
  </sheetViews>
  <sheetFormatPr baseColWidth="10" defaultColWidth="11.5703125" defaultRowHeight="15" x14ac:dyDescent="0.25"/>
  <cols>
    <col min="1" max="1" width="7.5703125" style="20" customWidth="1"/>
    <col min="2" max="3" width="12.7109375" customWidth="1"/>
    <col min="5" max="5" width="59.7109375" customWidth="1"/>
    <col min="6" max="6" width="20.5703125" style="16" hidden="1" customWidth="1"/>
    <col min="7" max="7" width="17.7109375" style="15" hidden="1" customWidth="1"/>
    <col min="8" max="8" width="23.7109375" hidden="1" customWidth="1"/>
    <col min="9" max="9" width="21.28515625" style="15" customWidth="1"/>
    <col min="10" max="10" width="15.140625" style="15" customWidth="1"/>
    <col min="11" max="11" width="14" bestFit="1" customWidth="1"/>
    <col min="12" max="12" width="13.7109375" customWidth="1"/>
    <col min="13" max="13" width="14" bestFit="1" customWidth="1"/>
  </cols>
  <sheetData>
    <row r="2" spans="1:14" ht="14.65" customHeight="1" x14ac:dyDescent="0.25">
      <c r="B2" s="65" t="s">
        <v>590</v>
      </c>
      <c r="C2" s="65" t="s">
        <v>52</v>
      </c>
      <c r="D2" s="66" t="s">
        <v>591</v>
      </c>
      <c r="E2" s="13"/>
      <c r="F2" s="67" t="s">
        <v>592</v>
      </c>
      <c r="G2" s="69" t="s">
        <v>593</v>
      </c>
      <c r="H2" s="63" t="s">
        <v>594</v>
      </c>
      <c r="I2" s="64" t="s">
        <v>595</v>
      </c>
      <c r="J2" s="64" t="s">
        <v>596</v>
      </c>
      <c r="K2" s="65" t="s">
        <v>597</v>
      </c>
      <c r="L2" s="65" t="s">
        <v>598</v>
      </c>
      <c r="M2" s="65" t="s">
        <v>599</v>
      </c>
      <c r="N2" s="65" t="s">
        <v>600</v>
      </c>
    </row>
    <row r="3" spans="1:14" ht="14.65" customHeight="1" x14ac:dyDescent="0.25">
      <c r="B3" s="65"/>
      <c r="C3" s="65"/>
      <c r="D3" s="66"/>
      <c r="E3" s="13" t="s">
        <v>601</v>
      </c>
      <c r="F3" s="68"/>
      <c r="G3" s="70"/>
      <c r="H3" s="63"/>
      <c r="I3" s="64"/>
      <c r="J3" s="64"/>
      <c r="K3" s="65"/>
      <c r="L3" s="65"/>
      <c r="M3" s="65"/>
      <c r="N3" s="65"/>
    </row>
    <row r="4" spans="1:14" ht="14.65" customHeight="1" x14ac:dyDescent="0.25">
      <c r="A4" s="21" t="s">
        <v>512</v>
      </c>
      <c r="B4" s="32" t="s">
        <v>27</v>
      </c>
      <c r="C4" s="14" t="s">
        <v>512</v>
      </c>
      <c r="D4" s="12">
        <v>2</v>
      </c>
      <c r="E4" t="s">
        <v>417</v>
      </c>
      <c r="F4" s="16">
        <v>99504.98</v>
      </c>
      <c r="H4" s="17">
        <f t="shared" ref="H4" si="0">+F4+G4</f>
        <v>99504.98</v>
      </c>
      <c r="I4" s="15">
        <v>700000</v>
      </c>
      <c r="N4" t="s">
        <v>602</v>
      </c>
    </row>
    <row r="5" spans="1:14" ht="14.65" customHeight="1" x14ac:dyDescent="0.25">
      <c r="F5" s="18"/>
      <c r="G5" s="19"/>
      <c r="H5" s="17"/>
      <c r="I5" s="19"/>
      <c r="J5" s="19"/>
      <c r="K5" s="19"/>
      <c r="L5" s="19"/>
    </row>
    <row r="8" spans="1:14" x14ac:dyDescent="0.25">
      <c r="G8" s="16"/>
      <c r="H8" s="16"/>
      <c r="I8" s="16"/>
      <c r="J8" s="16"/>
    </row>
  </sheetData>
  <autoFilter ref="B3:P4" xr:uid="{22350305-14D8-4378-9705-87962E1C1CCA}"/>
  <dataConsolidate/>
  <mergeCells count="12">
    <mergeCell ref="J2:J3"/>
    <mergeCell ref="K2:K3"/>
    <mergeCell ref="L2:L3"/>
    <mergeCell ref="M2:M3"/>
    <mergeCell ref="N2:N3"/>
    <mergeCell ref="H2:H3"/>
    <mergeCell ref="I2:I3"/>
    <mergeCell ref="C2:C3"/>
    <mergeCell ref="B2:B3"/>
    <mergeCell ref="D2:D3"/>
    <mergeCell ref="F2:F3"/>
    <mergeCell ref="G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PRESUPUESTO</vt:lpstr>
      <vt:lpstr>U.A</vt:lpstr>
      <vt:lpstr>F.F</vt:lpstr>
      <vt:lpstr>COG</vt:lpstr>
      <vt:lpstr>PROYECTO</vt:lpstr>
      <vt:lpstr>EJES</vt:lpstr>
      <vt:lpstr>CONDICIONES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LUCY MARIN MACIAS</dc:creator>
  <cp:lastModifiedBy>Planeacion</cp:lastModifiedBy>
  <cp:lastPrinted>2025-12-08T20:46:32Z</cp:lastPrinted>
  <dcterms:created xsi:type="dcterms:W3CDTF">2025-11-05T19:26:45Z</dcterms:created>
  <dcterms:modified xsi:type="dcterms:W3CDTF">2026-04-16T15:58:35Z</dcterms:modified>
</cp:coreProperties>
</file>