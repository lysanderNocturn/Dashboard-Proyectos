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\\10.1.85.243\finanzas\finanzas\2026\POA\"/>
    </mc:Choice>
  </mc:AlternateContent>
  <xr:revisionPtr revIDLastSave="0" documentId="13_ncr:1_{DA3D28A0-A222-4B12-A7CC-82988B0BF19A}" xr6:coauthVersionLast="47" xr6:coauthVersionMax="47" xr10:uidLastSave="{00000000-0000-0000-0000-000000000000}"/>
  <bookViews>
    <workbookView xWindow="-120" yWindow="-120" windowWidth="19440" windowHeight="12240" tabRatio="891" firstSheet="4" activeTab="4" xr2:uid="{00000000-000D-0000-FFFF-FFFF00000000}"/>
  </bookViews>
  <sheets>
    <sheet name="EJE 1" sheetId="1" state="hidden" r:id="rId1"/>
    <sheet name="EJE 2" sheetId="7" state="hidden" r:id="rId2"/>
    <sheet name="EJE 3" sheetId="18" state="hidden" r:id="rId3"/>
    <sheet name="EJE 4" sheetId="51" state="hidden" r:id="rId4"/>
    <sheet name="EJE 5" sheetId="5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64" i="52" l="1"/>
  <c r="M164" i="52"/>
  <c r="R162" i="52"/>
  <c r="R161" i="52"/>
  <c r="M125" i="52"/>
  <c r="R166" i="52" l="1"/>
  <c r="M166" i="52"/>
  <c r="R165" i="52"/>
  <c r="M165" i="52"/>
  <c r="R163" i="52"/>
  <c r="M163" i="52"/>
  <c r="M162" i="52"/>
  <c r="R147" i="52"/>
  <c r="M147" i="52"/>
  <c r="R146" i="52"/>
  <c r="M146" i="52"/>
  <c r="R145" i="52"/>
  <c r="M145" i="52"/>
  <c r="R131" i="52"/>
  <c r="M131" i="52"/>
  <c r="R130" i="52"/>
  <c r="M130" i="52"/>
  <c r="R129" i="52"/>
  <c r="M129" i="52"/>
  <c r="R128" i="52"/>
  <c r="M128" i="52"/>
  <c r="R127" i="52"/>
  <c r="M127" i="52"/>
  <c r="R126" i="52"/>
  <c r="M126" i="52"/>
  <c r="R112" i="52"/>
  <c r="M112" i="52"/>
  <c r="R111" i="52"/>
  <c r="M111" i="52"/>
  <c r="R110" i="52"/>
  <c r="M110" i="52"/>
  <c r="R109" i="52"/>
  <c r="M109" i="52"/>
  <c r="R108" i="52"/>
  <c r="M108" i="52"/>
  <c r="R107" i="52"/>
  <c r="M107" i="52"/>
  <c r="R106" i="52"/>
  <c r="M106" i="52"/>
  <c r="R105" i="52"/>
  <c r="M105" i="52"/>
  <c r="R104" i="52"/>
  <c r="M104" i="52"/>
  <c r="R103" i="52"/>
  <c r="M103" i="52"/>
  <c r="R89" i="52"/>
  <c r="M89" i="52"/>
  <c r="R88" i="52"/>
  <c r="M88" i="52"/>
  <c r="R87" i="52"/>
  <c r="M87" i="52"/>
  <c r="R73" i="52"/>
  <c r="M73" i="52"/>
  <c r="R72" i="52"/>
  <c r="M72" i="52"/>
  <c r="R71" i="52"/>
  <c r="M71" i="52"/>
  <c r="R57" i="52"/>
  <c r="M57" i="52"/>
  <c r="R56" i="52"/>
  <c r="M56" i="52"/>
  <c r="R55" i="52"/>
  <c r="M55" i="52"/>
  <c r="R54" i="52"/>
  <c r="M54" i="52"/>
  <c r="R53" i="52"/>
  <c r="M53" i="52"/>
  <c r="R52" i="52"/>
  <c r="M52" i="52"/>
  <c r="M22" i="52"/>
  <c r="R22" i="52"/>
  <c r="M23" i="52"/>
  <c r="R23" i="52"/>
  <c r="M24" i="52"/>
  <c r="R24" i="52"/>
  <c r="M25" i="52"/>
  <c r="R25" i="52"/>
  <c r="M26" i="52"/>
  <c r="R26" i="52"/>
  <c r="M27" i="52"/>
  <c r="R27" i="52"/>
  <c r="M28" i="52"/>
  <c r="R28" i="52"/>
  <c r="M29" i="52"/>
  <c r="R29" i="52"/>
  <c r="M30" i="52"/>
  <c r="R30" i="52"/>
  <c r="M31" i="52"/>
  <c r="R31" i="52"/>
  <c r="M32" i="52"/>
  <c r="R32" i="52"/>
  <c r="M33" i="52"/>
  <c r="R33" i="52"/>
  <c r="M34" i="52"/>
  <c r="R34" i="52"/>
  <c r="M35" i="52"/>
  <c r="R35" i="52"/>
  <c r="M36" i="52"/>
  <c r="R36" i="52"/>
  <c r="M37" i="52"/>
  <c r="R37" i="52"/>
  <c r="M38" i="52"/>
  <c r="R38" i="52"/>
  <c r="M161" i="52"/>
  <c r="R144" i="52"/>
  <c r="M144" i="52"/>
  <c r="R125" i="52"/>
  <c r="R102" i="52"/>
  <c r="M102" i="52"/>
  <c r="R86" i="52"/>
  <c r="M86" i="52"/>
  <c r="R70" i="52"/>
  <c r="M70" i="52"/>
  <c r="R51" i="52"/>
  <c r="M51" i="52"/>
  <c r="R21" i="52"/>
  <c r="M21" i="52"/>
  <c r="M6" i="52"/>
  <c r="R6" i="52"/>
  <c r="M7" i="52"/>
  <c r="R7" i="52"/>
  <c r="M8" i="52"/>
  <c r="R8" i="52"/>
  <c r="M9" i="52"/>
  <c r="R9" i="52"/>
  <c r="R5" i="52"/>
  <c r="M5" i="52"/>
  <c r="M232" i="51"/>
  <c r="R232" i="51"/>
  <c r="M233" i="51"/>
  <c r="R233" i="51"/>
  <c r="M234" i="51"/>
  <c r="R234" i="51"/>
  <c r="R231" i="51"/>
  <c r="M231" i="51"/>
  <c r="M215" i="51"/>
  <c r="R215" i="51"/>
  <c r="M216" i="51"/>
  <c r="R216" i="51"/>
  <c r="M217" i="51"/>
  <c r="R217" i="51"/>
  <c r="M218" i="51"/>
  <c r="R218" i="51"/>
  <c r="R214" i="51"/>
  <c r="M214" i="51"/>
  <c r="M199" i="51"/>
  <c r="R199" i="51"/>
  <c r="M200" i="51"/>
  <c r="R200" i="51"/>
  <c r="M201" i="51"/>
  <c r="R201" i="51"/>
  <c r="R198" i="51"/>
  <c r="M198" i="51"/>
  <c r="R197" i="51"/>
  <c r="M197" i="51"/>
  <c r="R196" i="51"/>
  <c r="M196" i="51"/>
  <c r="R195" i="51"/>
  <c r="M195" i="51"/>
  <c r="M175" i="51"/>
  <c r="R175" i="51"/>
  <c r="M176" i="51"/>
  <c r="R176" i="51"/>
  <c r="M177" i="51"/>
  <c r="R177" i="51"/>
  <c r="M178" i="51"/>
  <c r="R178" i="51"/>
  <c r="M179" i="51"/>
  <c r="R179" i="51"/>
  <c r="M180" i="51"/>
  <c r="R180" i="51"/>
  <c r="M181" i="51"/>
  <c r="R181" i="51"/>
  <c r="R174" i="51"/>
  <c r="M174" i="51"/>
  <c r="M149" i="51"/>
  <c r="R149" i="51"/>
  <c r="M150" i="51"/>
  <c r="R150" i="51"/>
  <c r="M151" i="51"/>
  <c r="R151" i="51"/>
  <c r="M152" i="51"/>
  <c r="R152" i="51"/>
  <c r="M153" i="51"/>
  <c r="R153" i="51"/>
  <c r="M154" i="51"/>
  <c r="R154" i="51"/>
  <c r="M155" i="51"/>
  <c r="R155" i="51"/>
  <c r="M156" i="51"/>
  <c r="R156" i="51"/>
  <c r="M157" i="51"/>
  <c r="R157" i="51"/>
  <c r="M158" i="51"/>
  <c r="R158" i="51"/>
  <c r="M159" i="51"/>
  <c r="R159" i="51"/>
  <c r="M160" i="51"/>
  <c r="R160" i="51"/>
  <c r="M161" i="51"/>
  <c r="R161" i="51"/>
  <c r="R148" i="51"/>
  <c r="M148" i="51"/>
  <c r="R147" i="51"/>
  <c r="M147" i="51"/>
  <c r="M133" i="51"/>
  <c r="R133" i="51"/>
  <c r="M134" i="51"/>
  <c r="R134" i="51"/>
  <c r="M135" i="51"/>
  <c r="R135" i="51"/>
  <c r="R132" i="51"/>
  <c r="M132" i="51"/>
  <c r="R131" i="51"/>
  <c r="M131" i="51"/>
  <c r="R130" i="51"/>
  <c r="M130" i="51"/>
  <c r="M116" i="51"/>
  <c r="R116" i="51"/>
  <c r="M117" i="51"/>
  <c r="R117" i="51"/>
  <c r="M118" i="51"/>
  <c r="R118" i="51"/>
  <c r="R115" i="51"/>
  <c r="M115" i="51"/>
  <c r="R114" i="51"/>
  <c r="M114" i="51"/>
  <c r="R113" i="51"/>
  <c r="M113" i="51"/>
  <c r="M101" i="51"/>
  <c r="R101" i="51"/>
  <c r="R100" i="51"/>
  <c r="M100" i="51"/>
  <c r="R99" i="51"/>
  <c r="M99" i="51"/>
  <c r="R98" i="51"/>
  <c r="M98" i="51"/>
  <c r="R97" i="51"/>
  <c r="M97" i="51"/>
  <c r="R96" i="51"/>
  <c r="M96" i="51"/>
  <c r="R53" i="51"/>
  <c r="M53" i="51"/>
  <c r="M84" i="51"/>
  <c r="R84" i="51"/>
  <c r="R83" i="51"/>
  <c r="M83" i="51"/>
  <c r="R82" i="51"/>
  <c r="M82" i="51"/>
  <c r="R81" i="51"/>
  <c r="M81" i="51"/>
  <c r="R80" i="51"/>
  <c r="M80" i="51"/>
  <c r="R68" i="51"/>
  <c r="M68" i="51"/>
  <c r="R67" i="51"/>
  <c r="M67" i="51"/>
  <c r="R66" i="51"/>
  <c r="M66" i="51"/>
  <c r="R65" i="51"/>
  <c r="M65" i="51"/>
  <c r="R52" i="51"/>
  <c r="M52" i="51"/>
  <c r="R51" i="51"/>
  <c r="M51" i="51"/>
  <c r="R50" i="51"/>
  <c r="M50" i="51"/>
  <c r="R49" i="51"/>
  <c r="M49" i="51"/>
  <c r="R37" i="51"/>
  <c r="M37" i="51"/>
  <c r="R36" i="51"/>
  <c r="M36" i="51"/>
  <c r="R35" i="51"/>
  <c r="M35" i="51"/>
  <c r="R34" i="51"/>
  <c r="M34" i="51"/>
  <c r="R22" i="51"/>
  <c r="M22" i="51"/>
  <c r="R21" i="51"/>
  <c r="M21" i="51"/>
  <c r="R20" i="51"/>
  <c r="M20" i="51"/>
  <c r="R19" i="51"/>
  <c r="M19" i="51"/>
  <c r="M6" i="51"/>
  <c r="R6" i="51"/>
  <c r="M7" i="51"/>
  <c r="R7" i="51"/>
  <c r="M8" i="51"/>
  <c r="R8" i="51"/>
  <c r="R5" i="51"/>
  <c r="M5" i="51"/>
  <c r="R168" i="18"/>
  <c r="M168" i="18"/>
  <c r="R167" i="18"/>
  <c r="M167" i="18"/>
  <c r="R166" i="18"/>
  <c r="M166" i="18"/>
  <c r="R154" i="18"/>
  <c r="M154" i="18"/>
  <c r="R153" i="18"/>
  <c r="M153" i="18"/>
  <c r="R152" i="18"/>
  <c r="M152" i="18"/>
  <c r="R151" i="18"/>
  <c r="M151" i="18"/>
  <c r="R150" i="18"/>
  <c r="M150" i="18"/>
  <c r="R149" i="18"/>
  <c r="M149" i="18"/>
  <c r="R148" i="18"/>
  <c r="M148" i="18"/>
  <c r="R136" i="18"/>
  <c r="M136" i="18"/>
  <c r="R135" i="18"/>
  <c r="M135" i="18"/>
  <c r="R134" i="18"/>
  <c r="M134" i="18"/>
  <c r="R133" i="18"/>
  <c r="M133" i="18"/>
  <c r="R132" i="18"/>
  <c r="M132" i="18"/>
  <c r="R131" i="18"/>
  <c r="M131" i="18"/>
  <c r="R119" i="18"/>
  <c r="M119" i="18"/>
  <c r="R118" i="18"/>
  <c r="M118" i="18"/>
  <c r="R117" i="18"/>
  <c r="M117" i="18"/>
  <c r="R116" i="18"/>
  <c r="M116" i="18"/>
  <c r="R115" i="18"/>
  <c r="M115" i="18"/>
  <c r="R114" i="18"/>
  <c r="M114" i="18"/>
  <c r="R113" i="18"/>
  <c r="M113" i="18"/>
  <c r="R112" i="18"/>
  <c r="M112" i="18"/>
  <c r="R111" i="18"/>
  <c r="M111" i="18"/>
  <c r="R99" i="18"/>
  <c r="M99" i="18"/>
  <c r="R98" i="18"/>
  <c r="M98" i="18"/>
  <c r="R97" i="18"/>
  <c r="M97" i="18"/>
  <c r="R96" i="18"/>
  <c r="M96" i="18"/>
  <c r="R95" i="18"/>
  <c r="M95" i="18"/>
  <c r="R83" i="18"/>
  <c r="M83" i="18"/>
  <c r="R82" i="18"/>
  <c r="M82" i="18"/>
  <c r="R81" i="18"/>
  <c r="M81" i="18"/>
  <c r="R80" i="18"/>
  <c r="M80" i="18"/>
  <c r="R79" i="18"/>
  <c r="M79" i="18"/>
  <c r="R78" i="18"/>
  <c r="M78" i="18"/>
  <c r="R77" i="18"/>
  <c r="M77" i="18"/>
  <c r="R65" i="18"/>
  <c r="M65" i="18"/>
  <c r="R64" i="18"/>
  <c r="M64" i="18"/>
  <c r="R63" i="18"/>
  <c r="M63" i="18"/>
  <c r="R62" i="18"/>
  <c r="M62" i="18"/>
  <c r="R61" i="18"/>
  <c r="M61" i="18"/>
  <c r="R60" i="18"/>
  <c r="M60" i="18"/>
  <c r="R48" i="18"/>
  <c r="M48" i="18"/>
  <c r="R47" i="18"/>
  <c r="M47" i="18"/>
  <c r="R46" i="18"/>
  <c r="M46" i="18"/>
  <c r="R45" i="18"/>
  <c r="M45" i="18"/>
  <c r="R44" i="18"/>
  <c r="M44" i="18"/>
  <c r="R43" i="18"/>
  <c r="M43" i="18"/>
  <c r="R42" i="18"/>
  <c r="M42" i="18"/>
  <c r="R41" i="18"/>
  <c r="M41" i="18"/>
  <c r="R40" i="18"/>
  <c r="M40" i="18"/>
  <c r="M20" i="18"/>
  <c r="R20" i="18"/>
  <c r="M21" i="18"/>
  <c r="R21" i="18"/>
  <c r="M22" i="18"/>
  <c r="R22" i="18"/>
  <c r="M23" i="18"/>
  <c r="R23" i="18"/>
  <c r="M24" i="18"/>
  <c r="R24" i="18"/>
  <c r="M25" i="18"/>
  <c r="R25" i="18"/>
  <c r="M26" i="18"/>
  <c r="R26" i="18"/>
  <c r="M27" i="18"/>
  <c r="R27" i="18"/>
  <c r="M28" i="18"/>
  <c r="R28" i="18"/>
  <c r="M6" i="18"/>
  <c r="R6" i="18"/>
  <c r="M7" i="18"/>
  <c r="R7" i="18"/>
  <c r="M8" i="18"/>
  <c r="R8" i="18"/>
  <c r="R165" i="18"/>
  <c r="M165" i="18"/>
  <c r="R147" i="18"/>
  <c r="M147" i="18"/>
  <c r="R130" i="18"/>
  <c r="M130" i="18"/>
  <c r="R110" i="18"/>
  <c r="M110" i="18"/>
  <c r="R94" i="18"/>
  <c r="M94" i="18"/>
  <c r="R76" i="18"/>
  <c r="M76" i="18"/>
  <c r="R59" i="18"/>
  <c r="M59" i="18"/>
  <c r="R39" i="18"/>
  <c r="M39" i="18"/>
  <c r="R19" i="18"/>
  <c r="M19" i="18"/>
  <c r="R5" i="18"/>
  <c r="M5" i="18"/>
  <c r="M170" i="7"/>
  <c r="R170" i="7"/>
  <c r="M171" i="7"/>
  <c r="R171" i="7"/>
  <c r="M172" i="7"/>
  <c r="R172" i="7"/>
  <c r="M173" i="7"/>
  <c r="R173" i="7"/>
  <c r="M174" i="7"/>
  <c r="R174" i="7"/>
  <c r="R169" i="7"/>
  <c r="M169" i="7"/>
  <c r="M149" i="7"/>
  <c r="R149" i="7"/>
  <c r="M150" i="7"/>
  <c r="R150" i="7"/>
  <c r="M151" i="7"/>
  <c r="R151" i="7"/>
  <c r="M152" i="7"/>
  <c r="R152" i="7"/>
  <c r="M153" i="7"/>
  <c r="R153" i="7"/>
  <c r="M154" i="7"/>
  <c r="R154" i="7"/>
  <c r="M155" i="7"/>
  <c r="R155" i="7"/>
  <c r="M156" i="7"/>
  <c r="R156" i="7"/>
  <c r="M157" i="7"/>
  <c r="R157" i="7"/>
  <c r="R148" i="7"/>
  <c r="M148" i="7"/>
  <c r="M133" i="7"/>
  <c r="R133" i="7"/>
  <c r="M134" i="7"/>
  <c r="R134" i="7"/>
  <c r="M135" i="7"/>
  <c r="R135" i="7"/>
  <c r="M136" i="7"/>
  <c r="R136" i="7"/>
  <c r="M137" i="7"/>
  <c r="R137" i="7"/>
  <c r="R132" i="7"/>
  <c r="M132" i="7"/>
  <c r="M114" i="7"/>
  <c r="R114" i="7"/>
  <c r="M115" i="7"/>
  <c r="R115" i="7"/>
  <c r="M116" i="7"/>
  <c r="R116" i="7"/>
  <c r="M117" i="7"/>
  <c r="R117" i="7"/>
  <c r="M118" i="7"/>
  <c r="R118" i="7"/>
  <c r="M119" i="7"/>
  <c r="R119" i="7"/>
  <c r="M120" i="7"/>
  <c r="R120" i="7"/>
  <c r="R113" i="7"/>
  <c r="M113" i="7"/>
  <c r="M86" i="7"/>
  <c r="R86" i="7"/>
  <c r="M87" i="7"/>
  <c r="R87" i="7"/>
  <c r="M88" i="7"/>
  <c r="R88" i="7"/>
  <c r="M89" i="7"/>
  <c r="R89" i="7"/>
  <c r="M90" i="7"/>
  <c r="R90" i="7"/>
  <c r="M91" i="7"/>
  <c r="R91" i="7"/>
  <c r="M92" i="7"/>
  <c r="R92" i="7"/>
  <c r="M93" i="7"/>
  <c r="R93" i="7"/>
  <c r="M94" i="7"/>
  <c r="R94" i="7"/>
  <c r="M95" i="7"/>
  <c r="R95" i="7"/>
  <c r="M96" i="7"/>
  <c r="R96" i="7"/>
  <c r="M97" i="7"/>
  <c r="R97" i="7"/>
  <c r="M98" i="7"/>
  <c r="R98" i="7"/>
  <c r="M99" i="7"/>
  <c r="R99" i="7"/>
  <c r="M100" i="7"/>
  <c r="R100" i="7"/>
  <c r="R85" i="7"/>
  <c r="M85" i="7"/>
  <c r="M62" i="7"/>
  <c r="R62" i="7"/>
  <c r="M63" i="7"/>
  <c r="R63" i="7"/>
  <c r="M64" i="7"/>
  <c r="R64" i="7"/>
  <c r="M65" i="7"/>
  <c r="R65" i="7"/>
  <c r="M66" i="7"/>
  <c r="R66" i="7"/>
  <c r="M67" i="7"/>
  <c r="R67" i="7"/>
  <c r="M68" i="7"/>
  <c r="R68" i="7"/>
  <c r="M69" i="7"/>
  <c r="R69" i="7"/>
  <c r="M70" i="7"/>
  <c r="R70" i="7"/>
  <c r="M71" i="7"/>
  <c r="R71" i="7"/>
  <c r="M72" i="7"/>
  <c r="R72" i="7"/>
  <c r="R61" i="7"/>
  <c r="M61" i="7"/>
  <c r="M38" i="7"/>
  <c r="R38" i="7"/>
  <c r="M39" i="7"/>
  <c r="R39" i="7"/>
  <c r="M40" i="7"/>
  <c r="R40" i="7"/>
  <c r="M41" i="7"/>
  <c r="R41" i="7"/>
  <c r="M42" i="7"/>
  <c r="R42" i="7"/>
  <c r="M43" i="7"/>
  <c r="R43" i="7"/>
  <c r="M44" i="7"/>
  <c r="R44" i="7"/>
  <c r="M45" i="7"/>
  <c r="R45" i="7"/>
  <c r="M46" i="7"/>
  <c r="R46" i="7"/>
  <c r="M47" i="7"/>
  <c r="R47" i="7"/>
  <c r="M48" i="7"/>
  <c r="R48" i="7"/>
  <c r="M49" i="7"/>
  <c r="R49" i="7"/>
  <c r="R37" i="7"/>
  <c r="M37" i="7"/>
  <c r="M23" i="7"/>
  <c r="R23" i="7"/>
  <c r="M24" i="7"/>
  <c r="R24" i="7"/>
  <c r="M25" i="7"/>
  <c r="R25" i="7"/>
  <c r="R22" i="7"/>
  <c r="M22" i="7"/>
  <c r="M6" i="7"/>
  <c r="R6" i="7"/>
  <c r="M7" i="7"/>
  <c r="R7" i="7"/>
  <c r="M8" i="7"/>
  <c r="R8" i="7"/>
  <c r="M9" i="7"/>
  <c r="R9" i="7"/>
  <c r="R5" i="7"/>
  <c r="M5" i="7"/>
  <c r="M116" i="1"/>
  <c r="R116" i="1"/>
  <c r="M117" i="1"/>
  <c r="R117" i="1"/>
  <c r="M118" i="1"/>
  <c r="R118" i="1"/>
  <c r="R115" i="1"/>
  <c r="M115" i="1"/>
  <c r="M98" i="1"/>
  <c r="R98" i="1"/>
  <c r="M99" i="1"/>
  <c r="R99" i="1"/>
  <c r="M100" i="1"/>
  <c r="R100" i="1"/>
  <c r="R97" i="1"/>
  <c r="M97" i="1"/>
  <c r="M80" i="1"/>
  <c r="R80" i="1"/>
  <c r="M81" i="1"/>
  <c r="R81" i="1"/>
  <c r="M82" i="1"/>
  <c r="R82" i="1"/>
  <c r="M78" i="1"/>
  <c r="R78" i="1"/>
  <c r="R79" i="1"/>
  <c r="M79" i="1"/>
  <c r="R64" i="1"/>
  <c r="M64" i="1"/>
  <c r="R63" i="1"/>
  <c r="M63" i="1"/>
  <c r="R62" i="1"/>
  <c r="M62" i="1"/>
  <c r="R61" i="1"/>
  <c r="M61" i="1"/>
  <c r="R65" i="1"/>
  <c r="M65" i="1"/>
  <c r="M44" i="1" l="1"/>
  <c r="R44" i="1"/>
  <c r="M45" i="1"/>
  <c r="R45" i="1"/>
  <c r="M46" i="1"/>
  <c r="R46" i="1"/>
  <c r="M47" i="1"/>
  <c r="R47" i="1"/>
  <c r="M48" i="1"/>
  <c r="R48" i="1"/>
  <c r="R43" i="1"/>
  <c r="M43" i="1"/>
  <c r="R22" i="1"/>
  <c r="M22" i="1"/>
  <c r="M23" i="1"/>
  <c r="R23" i="1"/>
  <c r="M24" i="1"/>
  <c r="R24" i="1"/>
  <c r="M25" i="1"/>
  <c r="R25" i="1"/>
  <c r="M26" i="1"/>
  <c r="R26" i="1"/>
  <c r="M27" i="1"/>
  <c r="R27" i="1"/>
  <c r="M28" i="1"/>
  <c r="R28" i="1"/>
  <c r="M29" i="1"/>
  <c r="R29" i="1"/>
  <c r="M30" i="1"/>
  <c r="R30" i="1"/>
  <c r="M31" i="1"/>
  <c r="R31" i="1"/>
  <c r="R11" i="1"/>
  <c r="R10" i="1"/>
  <c r="R9" i="1"/>
  <c r="R8" i="1"/>
  <c r="R7" i="1"/>
  <c r="R6" i="1"/>
  <c r="M11" i="1"/>
  <c r="M10" i="1"/>
  <c r="M9" i="1"/>
  <c r="M8" i="1"/>
  <c r="M7" i="1"/>
  <c r="M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Planeacion</author>
  </authors>
  <commentList>
    <comment ref="H6" authorId="0" shapeId="0" xr:uid="{D5480B9B-9D2B-4096-968C-1FF00234BB51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7" authorId="0" shapeId="0" xr:uid="{5169ADF3-98D5-44A7-960B-AEEBFB227578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8" authorId="0" shapeId="0" xr:uid="{6FEF3B8C-3303-4634-B55B-43D962BB001E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9" authorId="0" shapeId="0" xr:uid="{978529AB-3618-4EED-AE20-264261B2A3EB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10" authorId="0" shapeId="0" xr:uid="{18D6AC66-ABAC-4DA6-93A7-7B006B2A28E5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11" authorId="0" shapeId="0" xr:uid="{EAECC62A-B1B5-4524-815F-EDFF50D6AEAF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22" authorId="0" shapeId="0" xr:uid="{4DC12994-55C7-4B2D-AFEE-85C2C602ABA0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43" authorId="0" shapeId="0" xr:uid="{C72D51A2-C9F7-4AA3-ABF4-09FBC3E5C644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Planeacion</author>
  </authors>
  <commentList>
    <comment ref="H5" authorId="0" shapeId="0" xr:uid="{01EC2A50-83A0-4020-B8F6-34A063C6C2B3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22" authorId="0" shapeId="0" xr:uid="{D2E50694-0B7A-40B6-B90B-A44F59DFD7AC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37" authorId="0" shapeId="0" xr:uid="{06EC3357-05B0-482A-A299-8AABD361A1B1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61" authorId="0" shapeId="0" xr:uid="{8911D09B-7106-47AF-885F-E0E48217BC5A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85" authorId="0" shapeId="0" xr:uid="{2D78BEA3-593A-4084-8CA6-3D6CF23C1AD9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113" authorId="0" shapeId="0" xr:uid="{8DC002A7-E975-470A-90C6-A94E474029C4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132" authorId="0" shapeId="0" xr:uid="{405FB37B-18FC-4780-8D17-2630FC112B3B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148" authorId="0" shapeId="0" xr:uid="{D5184239-9CF1-41E1-A416-037D5C4C05E9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169" authorId="0" shapeId="0" xr:uid="{73CC8E64-03C3-4DE5-B1F5-19DE5F8D5F33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Planeacion</author>
  </authors>
  <commentList>
    <comment ref="H5" authorId="0" shapeId="0" xr:uid="{9A7FD7A4-A312-48B1-9CA9-E78A3E32700B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19" authorId="0" shapeId="0" xr:uid="{AE8164A2-6A15-4BAB-8F4F-C21A02E50118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39" authorId="0" shapeId="0" xr:uid="{616DB8DC-046E-4206-BFC9-3D508F213479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40" authorId="0" shapeId="0" xr:uid="{08FCEF64-C933-4181-82EB-0BA0EFAFB383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41" authorId="0" shapeId="0" xr:uid="{5D90B8C3-C458-4C82-836C-B6BA8E991A68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42" authorId="0" shapeId="0" xr:uid="{79F8B0D7-E170-4CA6-A45C-B2370401AC6A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43" authorId="0" shapeId="0" xr:uid="{C6FA4D9F-4A56-4CA4-9953-6DB3065F12BB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44" authorId="0" shapeId="0" xr:uid="{14FA8691-C593-493F-BC3D-784183D868F1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45" authorId="0" shapeId="0" xr:uid="{25AA9D7A-92E9-4B82-8787-3390D797B3FD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46" authorId="0" shapeId="0" xr:uid="{A2D72CAD-7F1C-4C34-A71D-36385C7C9C3A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47" authorId="0" shapeId="0" xr:uid="{020676F0-B949-4262-AF4A-5E0118BDE71D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48" authorId="0" shapeId="0" xr:uid="{B4BFC395-A068-4DF3-BB4C-1885D0057116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59" authorId="0" shapeId="0" xr:uid="{C9106194-4707-4361-BF55-91F27CD0C97E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60" authorId="0" shapeId="0" xr:uid="{1156EC8D-138E-4531-8C36-343648EFADA8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61" authorId="0" shapeId="0" xr:uid="{1CA47F1B-8ACA-4CFA-AC96-21DC3EE08FAA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62" authorId="0" shapeId="0" xr:uid="{F466CD0B-3DCE-40EC-961F-2E6E378B2993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63" authorId="0" shapeId="0" xr:uid="{0C52B8C6-9973-4941-AAC0-2FB3904452C1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64" authorId="0" shapeId="0" xr:uid="{AEEEE064-832A-4586-AEA5-D076724F9376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65" authorId="0" shapeId="0" xr:uid="{FD5EC3D4-817D-4F46-A34D-DF1D38C5B0B5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76" authorId="0" shapeId="0" xr:uid="{C277AE8B-613C-414A-A498-D339BBFFA399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77" authorId="0" shapeId="0" xr:uid="{7CF23058-23BD-4DBD-AFF8-2DF641FF9B53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78" authorId="0" shapeId="0" xr:uid="{FE87A120-A31D-4368-943C-80B9D962FF2D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79" authorId="0" shapeId="0" xr:uid="{0293F16F-B918-4077-BBD0-B0849C3FEB68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80" authorId="0" shapeId="0" xr:uid="{EF1F140D-B952-454F-8BDB-4BDCA48DAA65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81" authorId="0" shapeId="0" xr:uid="{86CE9CE1-830C-4BA4-B891-5ED4C18A8C9E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82" authorId="0" shapeId="0" xr:uid="{8A914A0E-5340-48BD-953A-58CA8B5C7AD9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83" authorId="0" shapeId="0" xr:uid="{64B48518-61D3-4D13-B707-0ED829F376E2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94" authorId="0" shapeId="0" xr:uid="{67FB88D3-C065-4251-B498-6681680C0B4D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95" authorId="0" shapeId="0" xr:uid="{23ED9EAD-7002-4DD4-8F56-79155ACADB41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96" authorId="0" shapeId="0" xr:uid="{F51E72FB-A918-4B33-9985-F2930779FD6E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97" authorId="0" shapeId="0" xr:uid="{FEB7119C-BC2E-47EB-94C2-EF4F3FCB512C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98" authorId="0" shapeId="0" xr:uid="{E54B7D46-E9CC-47DB-A94F-50D044513C9C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99" authorId="0" shapeId="0" xr:uid="{7D8BDFCD-B450-4281-849D-4EADAD492E77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110" authorId="0" shapeId="0" xr:uid="{54A77522-8478-4243-BD76-A680E9A4D621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111" authorId="0" shapeId="0" xr:uid="{66792AE8-8403-44BF-AC04-42098EAD52B7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112" authorId="0" shapeId="0" xr:uid="{7894211B-CCC9-4A86-8756-7A40281AFB78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113" authorId="0" shapeId="0" xr:uid="{1C148AE4-5D32-49F5-8C17-7D7E45F251E2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114" authorId="0" shapeId="0" xr:uid="{31B4C542-02B5-4D97-94B9-1CF54410650F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115" authorId="0" shapeId="0" xr:uid="{13CA086A-2052-40D7-84B7-5F173015221F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116" authorId="0" shapeId="0" xr:uid="{5130824E-0F84-4F69-8D36-9F8E474AB508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117" authorId="0" shapeId="0" xr:uid="{BC210A9F-063C-4029-BEEE-4BBDEC1C9870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118" authorId="0" shapeId="0" xr:uid="{395C72FE-EC8B-4705-B9CF-7816A56A949C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119" authorId="0" shapeId="0" xr:uid="{7790C3A8-ABC3-477D-A363-023112BD35E2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130" authorId="0" shapeId="0" xr:uid="{D4B94D67-A785-499D-97F8-4FD65E99912D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131" authorId="0" shapeId="0" xr:uid="{DA5AD138-696C-48F1-B39D-0EE1C13BF246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132" authorId="0" shapeId="0" xr:uid="{DADFC0CB-E175-41ED-86D7-1AA91656F09B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133" authorId="0" shapeId="0" xr:uid="{A4FB2213-7BCC-4928-A0ED-249BC1C31880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134" authorId="0" shapeId="0" xr:uid="{B59AE5DA-7383-4473-B717-5F8AB6148A6C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135" authorId="0" shapeId="0" xr:uid="{DA3ED7B8-07F7-4836-ABE2-0D080875563E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136" authorId="0" shapeId="0" xr:uid="{39EDB1C1-3437-41AA-BE96-59282FFB0718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147" authorId="0" shapeId="0" xr:uid="{930FD912-B5DF-4BDE-8F52-5E31B425C201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148" authorId="0" shapeId="0" xr:uid="{176A1872-1AFD-4970-8383-20EB494F3784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149" authorId="0" shapeId="0" xr:uid="{241ABFDB-683E-4DB8-8FDD-81E6CC2B56D1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150" authorId="0" shapeId="0" xr:uid="{0E930D20-6E13-419C-A434-EB093F107D75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151" authorId="0" shapeId="0" xr:uid="{3B749BB6-F4A6-4D4C-9C5F-95B0364DBD11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152" authorId="0" shapeId="0" xr:uid="{B121CD74-16A1-4BAE-8EF9-90F819188644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153" authorId="0" shapeId="0" xr:uid="{A910835D-01A1-4F92-AD47-80BF5C0C7CEE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154" authorId="0" shapeId="0" xr:uid="{D83897E6-12FE-4700-BE2E-115978630A3F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165" authorId="0" shapeId="0" xr:uid="{FE56FCC3-5ABC-4093-804E-D2213A143104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166" authorId="0" shapeId="0" xr:uid="{26D0B068-6428-4477-8535-02148F774912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167" authorId="0" shapeId="0" xr:uid="{8110B77B-80DD-45C4-9D5B-2E664C23A6E0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168" authorId="0" shapeId="0" xr:uid="{8E550898-EC8A-4289-BD9D-D6F599C28F90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Planeacion</author>
  </authors>
  <commentList>
    <comment ref="H5" authorId="0" shapeId="0" xr:uid="{8D95C662-CDA7-4415-908D-9AA2722FC469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  <comment ref="H19" authorId="0" shapeId="0" xr:uid="{43E9B1AB-AC2C-439B-AECB-3B7A85F52EB1}">
      <text>
        <r>
          <rPr>
            <b/>
            <sz val="9"/>
            <color indexed="81"/>
            <rFont val="Tahoma"/>
            <charset val="1"/>
          </rPr>
          <t>Meta Especifica: Indicaremos una cantidad concreta conforme a la meta establecida, como por ejemplo; ¿Cuántos policias se capacitarán?</t>
        </r>
      </text>
    </comment>
  </commentList>
</comments>
</file>

<file path=xl/sharedStrings.xml><?xml version="1.0" encoding="utf-8"?>
<sst xmlns="http://schemas.openxmlformats.org/spreadsheetml/2006/main" count="3456" uniqueCount="1453">
  <si>
    <t>1.1 Seguridad pública municipal equipada, capacitada y lista para actuar.</t>
  </si>
  <si>
    <t>Objetivo</t>
  </si>
  <si>
    <t>Acción</t>
  </si>
  <si>
    <t>Medida</t>
  </si>
  <si>
    <t>Meta</t>
  </si>
  <si>
    <t>Evaluación</t>
  </si>
  <si>
    <t>*Seguridad Pública Municipal.</t>
  </si>
  <si>
    <t>1.2 Prevención del delito, las violencias y sus consecuencias.</t>
  </si>
  <si>
    <t/>
  </si>
  <si>
    <t>1.3 Policías educados y con espíritu de servicio a la nación.</t>
  </si>
  <si>
    <t>1.4 Fortalecer el sistema municipal de protección civil.</t>
  </si>
  <si>
    <t>* Secretaría del H. Ayuntamiento, Protección civil.</t>
  </si>
  <si>
    <t>1.5 Garantizar la justicia cívica municipal para todas y todos.</t>
  </si>
  <si>
    <t>1.6 Iluminación pública que elimine el delito.</t>
  </si>
  <si>
    <t>* Servicios públicos y Seguridad Pública Municipal.</t>
  </si>
  <si>
    <t>1.7 Atención a víctimas del delito.</t>
  </si>
  <si>
    <t>* Seguridad Pública Municipal, Instancia de la Mujer y DIF.</t>
  </si>
  <si>
    <t>2.1 En Rincón de Romos las mujeres son primero.</t>
  </si>
  <si>
    <t>* Instancia de la mujer, Seguridad Pública, DIF.</t>
  </si>
  <si>
    <t>2.2 Igualdad de oportunidades en el gobierno municipal.</t>
  </si>
  <si>
    <t>2.3 Socializar la cultura para todas y todos.</t>
  </si>
  <si>
    <t>2.4 Fomento a los talentos artísticos y culturales del municipio.</t>
  </si>
  <si>
    <t>2.5 Espacios dignos para las familias.</t>
  </si>
  <si>
    <t>* Desarrollo Social, DIF, Instancia de la Mujer e Instancia de la Juventud.</t>
  </si>
  <si>
    <t>2.6 Jóvenes responsables e informados.</t>
  </si>
  <si>
    <t>* Instancia de la Juventud.</t>
  </si>
  <si>
    <t>2.7 Uso responsable y adecuado de las nuevas tecnologías.</t>
  </si>
  <si>
    <t>2.8 Obras públicas transparentes y con participación ciudadana.</t>
  </si>
  <si>
    <t>* Planeación y Desarrollo, Desarrollo Social y Obras Públicas.</t>
  </si>
  <si>
    <t>2.9 Ciudadanos responsables que participan en la gestión municipal.</t>
  </si>
  <si>
    <t>* Desarrollo Social, Administración, Tesorería y Obras Públicas.</t>
  </si>
  <si>
    <t>3.1 Educación de Calidad a nivel Superior.</t>
  </si>
  <si>
    <t>3.2 Salud para todas y todos.</t>
  </si>
  <si>
    <t>* DIF Municipal y Desarrollo Social.</t>
  </si>
  <si>
    <t>3.3 Mujeres sanas, libres y empoderadas.</t>
  </si>
  <si>
    <t>* DIF Municipal.</t>
  </si>
  <si>
    <t>3.4 Población menos favorecida y vulnerable.</t>
  </si>
  <si>
    <t>3.5 Bienestar de niñas, niños y adolescentes.</t>
  </si>
  <si>
    <t>3.6 Deporte como estrategia de salud.</t>
  </si>
  <si>
    <t>* Fomento deportivo y acción cívica e Instancia de la Juventud.</t>
  </si>
  <si>
    <t>3.7 Deporte recreativo y espacios dignos.</t>
  </si>
  <si>
    <t>3.8 Deporte de alto rendimiento.</t>
  </si>
  <si>
    <t>3.9 Deporte para todos y todas.</t>
  </si>
  <si>
    <t>3.10 Organización de eventos deportivos.</t>
  </si>
  <si>
    <t>* Fomento deportivo y acción cívica.</t>
  </si>
  <si>
    <t>4.1 Agua de calidad para todas y todos.</t>
  </si>
  <si>
    <t>* OOAPAS.</t>
  </si>
  <si>
    <t>4.2 Fortalecer el sistema integral del OOAPAS.</t>
  </si>
  <si>
    <t>4.3 Agua potable para personas u organizaciones regularizadas.</t>
  </si>
  <si>
    <t>4.4 Alcantarillado sanitario y pluvial.</t>
  </si>
  <si>
    <t>4.5 Fomentar la cultura del cuidado del agua en toda la población.</t>
  </si>
  <si>
    <t>4.6 Servicio de limpia y aseo municipal.</t>
  </si>
  <si>
    <t>4.7 Alumbrado público municipal.</t>
  </si>
  <si>
    <t>* Servicios Públicos y Obras Públicas.</t>
  </si>
  <si>
    <t>4.8 Parques, avenidas y jardines.</t>
  </si>
  <si>
    <t>Anual</t>
  </si>
  <si>
    <t>Trianual</t>
  </si>
  <si>
    <t>4.9 Panteones municipales dignos.</t>
  </si>
  <si>
    <t>4.10 Naturaleza, Viveros y jardín botánico municipal</t>
  </si>
  <si>
    <t>2 decretos.</t>
  </si>
  <si>
    <t>3 catálogos.</t>
  </si>
  <si>
    <t>160 patrullajes</t>
  </si>
  <si>
    <t>6 actividades.</t>
  </si>
  <si>
    <t>40 espacios.</t>
  </si>
  <si>
    <t>4.11 Municipio más verde para respirar mejor.</t>
  </si>
  <si>
    <t>3 festivales.</t>
  </si>
  <si>
    <t>4.12 Aplicar la normativa para evitar la contaminación en el municipio.</t>
  </si>
  <si>
    <t>12 documentos.</t>
  </si>
  <si>
    <t>Capacitaciones</t>
  </si>
  <si>
    <t>4.13 Mantenimiento preventivo y correctivo de vialidades.</t>
  </si>
  <si>
    <t>5.1 Bienestar para todos: economía social solidaria y turismo.</t>
  </si>
  <si>
    <t>300 créditos</t>
  </si>
  <si>
    <t>5.2 Fortalecimiento del sector agropecuario.</t>
  </si>
  <si>
    <t>5.3 Capacitación para la vida.</t>
  </si>
  <si>
    <t>5.4 Municipio inteligente y normado.</t>
  </si>
  <si>
    <t>5.5 Municipio con Bando de Policía y Gobierno Actualizado.</t>
  </si>
  <si>
    <t>5.6 Instalación de las bases para una ciudad inteligente.</t>
  </si>
  <si>
    <t>5.7 Ordenamiento y visión a largo plazo.</t>
  </si>
  <si>
    <t>5.8 Municipio comunicado y digital.</t>
  </si>
  <si>
    <t>5.9 Gobierno digital.</t>
  </si>
  <si>
    <t>EJE 1: RINCON CORDIAL Y SEGURO</t>
  </si>
  <si>
    <t>Análisis bimensual de los datos recolectados y reportes de mejora de las
acciones
preventivas con base en los incidentes registrados.</t>
  </si>
  <si>
    <t>* Instancia de la mujer, Dirección de Administración, Secretaría Particular.</t>
  </si>
  <si>
    <t>Reducir en un 90% las diferencias salariales en
3 años.</t>
  </si>
  <si>
    <t>*Desarrollo Económico y Agropecuario</t>
  </si>
  <si>
    <t>2.5.6 Realizar mercaditos en la plaza principal donde diferentes personas muestren sus emprendimientos y las familias puedan ir a consumir los productos.</t>
  </si>
  <si>
    <t>Realizar un total de 24 eventos en un lapso de 1 año.</t>
  </si>
  <si>
    <t>Realizar encuestas para conocer el nivel de satisfacción que están teniendo las personas con la realización del mercadito.</t>
  </si>
  <si>
    <t>Revisión semestral de las actividades realizadas por los comités.</t>
  </si>
  <si>
    <t>Integración, seguimiento y evaluación de
120 comités</t>
  </si>
  <si>
    <t>Evaluación semestral del impacto de
las propuestas aceptadas.</t>
  </si>
  <si>
    <t>Implementar acciones estratégicas para promover la salud integral de las mujeres, fortaleciendo los servicios de salud sexual y reproductiva y empoderando a las mujeres para tomar decisiones informadas sobre su salud.</t>
  </si>
  <si>
    <t>3.2.3 Promover campañas de vacunación en coordinación con el sector salud.</t>
  </si>
  <si>
    <t>Alcanzar una
cobertura del
90% de las vacunas necesarias en tres años.</t>
  </si>
  <si>
    <t>Fomentar el bienestar integral de niñas, niños y adolescentes a través de espacios educativos, de recreación y de
atención psicológica especializada.</t>
  </si>
  <si>
    <t>Realizar 1,000 sesiones anuales, atendiendo a al menos 300 niños y adolescentes.</t>
  </si>
  <si>
    <t>Reporte mensual de asistencia y resultados de encuestas de satisfacción.</t>
  </si>
  <si>
    <t>Porcentaje de apoyos educativos otorgados contra estudiantes sujetos de apoyos Expedientes Físicos, Recibos de pago y Evidencia Fotográfica</t>
  </si>
  <si>
    <t>* DIF Municipal, Desarrollo Social e Instancia de la Juventud.</t>
  </si>
  <si>
    <t>64 localidades las más importantes 
1. Pabellón  de Hidalgo
2. Pablo Escaleras
3. San Jacinto
4. El Bajío</t>
  </si>
  <si>
    <t>Llevar las escuelas deportivas a las 4 comunidades mas importante como mínimo</t>
  </si>
  <si>
    <t>3.7.9 Difusión en redes sociales que son en la actualidad la mejor manera de llegar además de las tradicionales</t>
  </si>
  <si>
    <t>Analizar la medición en las distintas redes sociales y su alcance</t>
  </si>
  <si>
    <t>Que la sociedad conozca las opciones y alternativas</t>
  </si>
  <si>
    <t>Garantizar los espacios dignos para la práctica recreativa de los deportes.</t>
  </si>
  <si>
    <t>1.6.4 Crear brigadas vecinales de monitoreo del alumbrado.</t>
  </si>
  <si>
    <t>Número de brigadas formadas y activas.</t>
  </si>
  <si>
    <t>Formar al menos 10 brigadas en 3 años.</t>
  </si>
  <si>
    <t>Reducir reportes de fallas en un 30% en 3 años.</t>
  </si>
  <si>
    <t>Encuestas de evaluación de los participantes y análisis de políticas implementadas.</t>
  </si>
  <si>
    <t>1 estudiantina Rinconense</t>
  </si>
  <si>
    <t>2.7.6 Desarrollar e implementar una plataforma de atención ciudadana que permita la consulta de información, así como de recibir, analizar y consultar los diferentes tramites dentro del territorio municipal</t>
  </si>
  <si>
    <t>Plataforma para tramites y servicios Plataforma de consulta y base de datos Visor cartográfico y puntos de interés</t>
  </si>
  <si>
    <t>Implementar 4 programas anuales con 200 personas por programa.</t>
  </si>
  <si>
    <t>Realizar 6 campañas anuales alcanzando a 10,000 personas.</t>
  </si>
  <si>
    <t>Condiciones dignas para atender a jóvenes con necesidades psicológicas en cualquier lugar del municipio.</t>
  </si>
  <si>
    <t>Realizar auditorías periódicas para verificar las reparaciones y la funcionalidad de las estructuras</t>
  </si>
  <si>
    <t>Evaluar los atletas con mayor proyección deportiva para selecciones nacionales</t>
  </si>
  <si>
    <t>Tener una base de datos de los atletas y que los de mayores resultados oficiales logren una beca deportiva</t>
  </si>
  <si>
    <t>Cuantas becas deportivas se pueden generar a través de
esta iniciativa</t>
  </si>
  <si>
    <t>EJE 4: RINCÓN VERDE Y SOSTENIBLE</t>
  </si>
  <si>
    <t>Garantizar el servicio de Agua Potable, Saneamiento y Alcantarillado en la población regular de Rincón de Romos.</t>
  </si>
  <si>
    <t>4.1.1 Identificar y renovar las infraestructuras de distribución de agua potable.</t>
  </si>
  <si>
    <t>Número de líneas de agua renovadas y en funcionamiento.</t>
  </si>
  <si>
    <t>Renovar al menos 5 km de tuberías en tres años.</t>
  </si>
  <si>
    <t>Informe de avances en la renovación de infraestructura.</t>
  </si>
  <si>
    <t>4.1.2 Realizar mantenimiento preventivo y correctivo en las plantas de tratamiento.</t>
  </si>
  <si>
    <t>Número de mantenimientos realizados y eficacia del tratamiento.</t>
  </si>
  <si>
    <t>Realizar 2 mantenimientos anuales con una eficacia del 95% en el tratamiento del agua.</t>
  </si>
  <si>
    <t>Reporte de calidad del agua y estado de las plantas.</t>
  </si>
  <si>
    <t>4.1.3 Realizar análisis periódicos de la calidad del agua en diversos puntos del municipio.</t>
  </si>
  <si>
    <t>Número de muestras de agua analizadas y resultados obtenidos.</t>
  </si>
  <si>
    <t>Analizar 100 muestras anuales de agua en diferentes puntos del municipio.</t>
  </si>
  <si>
    <t>Informe de calidad del agua, identificando áreas que requieran atención.</t>
  </si>
  <si>
    <t>4.1.4 Capacitar a los operadores del sistema de agua potable en nuevas tecnologías y técnicas de purificación.</t>
  </si>
  <si>
    <t>Número de capacitaciones realizadas y participantes.</t>
  </si>
  <si>
    <t>Capacitar a 30 operadores en tres años.</t>
  </si>
  <si>
    <t>Evaluación del rendimiento post-capacitación y su impacto en la calidad del servicio.</t>
  </si>
  <si>
    <t>Aumentar la eficiencia en la distribución de agua potable, minimizando las pérdidas en todo el proceso y maximizando los beneficios para la sociedad y el municipio.</t>
  </si>
  <si>
    <t>4.2.1 Realizar auditorías internas periódicas para evaluar la eficiencia del sistema.</t>
  </si>
  <si>
    <t>Número de auditorías realizadas y resultados obtenidos.</t>
  </si>
  <si>
    <t>Realizar 3 auditorías anuales con el objetivo de reducir las pérdidas en un 10%.</t>
  </si>
  <si>
    <t>Reporte de resultados de auditorías y acciones correctivas implementadas.</t>
  </si>
  <si>
    <t>4.2.2 Implementar un sistema de monitoreo en tiempo real del consumo de agua.</t>
  </si>
  <si>
    <t>Número de medidores instalados y conectados al sistema de monitoreo.</t>
  </si>
  <si>
    <t>Instalar medidores en el 100% de las conexiones en tres años.</t>
  </si>
  <si>
    <t>Evaluación de la eficiencia del sistema mediante el análisis de datos de consumo.</t>
  </si>
  <si>
    <t>4.2.3 Mejorar la infraestructura de distribución para evitar fugas y pérdidas.</t>
  </si>
  <si>
    <t>Porcentaje de reducción de pérdidas de agua.</t>
  </si>
  <si>
    <t>Reducir las pérdidas de agua en un 15% durante tres años.</t>
  </si>
  <si>
    <t>Reporte de reducción de pérdidas y mejoras en la distribución.</t>
  </si>
  <si>
    <t>4.2.4 Promover la automatización de procesos administrativos y de cobranza para aumentar la eficiencia.</t>
  </si>
  <si>
    <t>Número de procesos automatizados y pagos realizados a tiempo.</t>
  </si>
  <si>
    <t>Automatizar 3 procesos en los primeros dos años y lograr una recaudación del 95%.</t>
  </si>
  <si>
    <t>Análisis de la eficiencia administrativa y tasa de recaudación.</t>
  </si>
  <si>
    <t>* OOAPAS, Tesorería.</t>
  </si>
  <si>
    <t>Garantizar el suministro de agua potable de calidad a todos los habitantes de las colonias reconocidas oficialmente, así como a empresas o negocios instalados legalmente.</t>
  </si>
  <si>
    <t>4.3.1 Establecer un sistema de seguimiento y control de usuarios regularizados.</t>
  </si>
  <si>
    <t>Número de usuarios registrados y activos en el sistema.</t>
  </si>
  <si>
    <t>Regularizar al 100% de los usuarios y empresas en tres años.</t>
  </si>
  <si>
    <t>Revisión de registros de usuarios y evaluación de procesos de regularización.</t>
  </si>
  <si>
    <t>4.3.2 Ofrecer incentivos a empresas que mantengan un uso eficiente del agua.</t>
  </si>
  <si>
    <t>Número de empresas que se adhieren al programa de incentivos.</t>
  </si>
  <si>
    <t>Obtener la adhesión de al menos 50 empresas en tres años.</t>
  </si>
  <si>
    <t>Monitoreo de la participación empresarial y análisis de eficiencia en el uso del agua.</t>
  </si>
  <si>
    <t>4.3.3 Implementar un sistema de facturación transparente para los usuarios.</t>
  </si>
  <si>
    <t>Número de facturas emitidas correctamente y entregadas a tiempo.</t>
  </si>
  <si>
    <t>Emitir 100% de las facturas de manera precisa y puntual.</t>
  </si>
  <si>
    <t>Evaluación del proceso de facturación mediante encuestas de satisfacción.</t>
  </si>
  <si>
    <t>4.3.4 Promover campañas informativas sobre la importancia de la regularización de pagos y el uso responsable del agua.</t>
  </si>
  <si>
    <t>Número de campañas realizadas y personas alcanzadas.</t>
  </si>
  <si>
    <t>Realizar 6 campañas anuales con un alcance de 10,000 personas.</t>
  </si>
  <si>
    <t>Medición del impacto de las campañas a través de encuestas post-campaña.</t>
  </si>
  <si>
    <t>Mejorar las condiciones de vida de los habitantes al garantizar un adecuado manejo de las aguas residuales y pluviales.</t>
  </si>
  <si>
    <t>4.4.1 Diagnosticar y renovar las redes de alcantarillado sanitario y pluvial.</t>
  </si>
  <si>
    <t>Número de metros de alcantarillado renovados y en funcionamiento.</t>
  </si>
  <si>
    <t>Renovar al menos 8 km de alcantarillado en tres años.</t>
  </si>
  <si>
    <t>Informe de los trabajos realizados y estado de las redes.</t>
  </si>
  <si>
    <t>4.4.2 Construir nuevas redes de alcantarillado en áreas en crecimiento.</t>
  </si>
  <si>
    <t>Número de nuevas redes instaladas.</t>
  </si>
  <si>
    <t>Instalar 5 km de nuevas redes en áreas en expansión en tres años.</t>
  </si>
  <si>
    <t>Supervisión y verificación del funcionamiento de las nuevas redes.</t>
  </si>
  <si>
    <t>4.4.3 Establecer un programa de limpieza y mantenimiento regular de las redes de alcantarillado.</t>
  </si>
  <si>
    <t>Número de mantenimientos realizados y frecuencia.</t>
  </si>
  <si>
    <t>Realizar 12 mantenimientos al año en las redes de alcantarillado.</t>
  </si>
  <si>
    <t>Reportes de las actividades de mantenimiento y seguimiento de limpieza.</t>
  </si>
  <si>
    <t>4.4.4 Implementar un sistema de monitoreo de la calidad del alcantarillado y los drenajes pluviales.</t>
  </si>
  <si>
    <t>Número de monitoreos realizados y problemas detectados.</t>
  </si>
  <si>
    <t>Realizar 3 monitoreos anuales con un 95% de cobertura.</t>
  </si>
  <si>
    <t>Informe detallado sobre las condiciones de las redes de alcantarillado.</t>
  </si>
  <si>
    <t>4.4.5 Desarrollo de Obras en redes obsoletas de acuerdo con los materiales de infraestructura.</t>
  </si>
  <si>
    <t>Reemplazo de redes obsoletas y colapsadas para generar servicios que mejoren en calidad, así como salubres.</t>
  </si>
  <si>
    <t>Reemplazo de redes de asbesto y mayor a 25 años</t>
  </si>
  <si>
    <t>Bajo reemplazo de redes azolvadas y colapsos de infraestructura por atención anticipada.</t>
  </si>
  <si>
    <t>* OOAPAS y Obras Públicas.</t>
  </si>
  <si>
    <t>Implementar acciones para que la población conozca la importancia del agua, aprenda a ahorrarla y a pagar oportunamente el servicio, así como a realizar los trámites de manera fácil y rápida.</t>
  </si>
  <si>
    <t>4.5.1 Realizar campañas de sensibilización sobre el uso eficiente del agua.</t>
  </si>
  <si>
    <t>Número de campañas realizadas y alcance de la audiencia.</t>
  </si>
  <si>
    <t>Evaluación del impacto de las campañas mediante encuestas.</t>
  </si>
  <si>
    <t>4.5.2 Organizar talleres y actividades educativas sobre el ahorro de agua en escuelas y comunidades.</t>
  </si>
  <si>
    <t>Número de talleres realizados y participantes.</t>
  </si>
  <si>
    <t>Impartir 15 talleres anuales, con 300 personas participando en cada uno.</t>
  </si>
  <si>
    <t>Encuestas de satisfacción y conocimiento adquirido al finalizar los talleres.</t>
  </si>
  <si>
    <t>4.5.3 Implementar un sistema de recompensas para usuarios que mantengan un consumo responsable de agua.</t>
  </si>
  <si>
    <t>Número de usuarios que reciben recompensas.</t>
  </si>
  <si>
    <t>Premiar al 20% de los usuarios con el mejor comportamiento en ahorro de agua en tres años.</t>
  </si>
  <si>
    <t>Seguimiento de los usuarios premiados y evaluación de su consumo.</t>
  </si>
  <si>
    <t>4.5.4 Facilitar el acceso a tecnologías y herramientas para el ahorro de agua, como kits de ahorro.</t>
  </si>
  <si>
    <t>Número de kits distribuidos y adopción en la población.</t>
  </si>
  <si>
    <t>Distribuir 2,000 kits en tres años.</t>
  </si>
  <si>
    <t>Monitoreo del uso de los kits y su impacto en el consumo de agua.</t>
  </si>
  <si>
    <t>* OOAPAS</t>
  </si>
  <si>
    <t>Mejorar la calidad de vida de los habitantes a través de la optimización de los servicios públicos de recolección de residuos, limpia y aseo municipal.</t>
  </si>
  <si>
    <t>4.6.1 Optimizar las rutas de recolección de residuos para reducir tiempos y costos.</t>
  </si>
  <si>
    <t>Número de rutas optimizadas y frecuencia de recolección.</t>
  </si>
  <si>
    <t>Optimizar al menos 10 rutas en tres años, asegurando recolección diaria en las zonas urbanas.</t>
  </si>
  <si>
    <t>Reporte de eficiencia en la recolección y análisis de costos.</t>
  </si>
  <si>
    <t>4.6.2 Implementar un sistema de reciclaje y separación de residuos en todos los hogares.</t>
  </si>
  <si>
    <t>Número de hogares que implementan separación de residuos.</t>
  </si>
  <si>
    <t>Alcanzar un 70% de participación de hogares en el sistema de reciclaje en tres años.</t>
  </si>
  <si>
    <t>Monitoreo de la participación mediante visitas y encuestas a los residentes.</t>
  </si>
  <si>
    <t>4.6.3 Mejorar la cobertura y la frecuencia de los servicios de aseo en áreas públicas.</t>
  </si>
  <si>
    <t>Número de zonas cubiertas y frecuencia de limpieza.</t>
  </si>
  <si>
    <t>Asegurar limpieza diaria de al menos 80% de las áreas públicas del municipio.</t>
  </si>
  <si>
    <t>Evaluación de la cobertura mediante inspecciones semanales.</t>
  </si>
  <si>
    <t>4.6.4 Crear campañas educativas sobre la correcta disposición de residuos y reciclaje.</t>
  </si>
  <si>
    <t>Número de campañas realizadas y materiales distribuidos.</t>
  </si>
  <si>
    <t>Realizar 4 campañas anuales con 10,000 personas alcanzadas.</t>
  </si>
  <si>
    <t>Evaluación de conocimiento y cambio de hábitos mediante encuestas.</t>
  </si>
  <si>
    <t>4.6.5 Incentivar la participación ciudadana y concientización de los servicios de limpia.</t>
  </si>
  <si>
    <t>Ciudad limpia, soluciones tradicionales y digitales.</t>
  </si>
  <si>
    <t>Desarrollo sustentable, mejora de calidad de vida.</t>
  </si>
  <si>
    <t>Semanal.</t>
  </si>
  <si>
    <t>* Servicios Públicos</t>
  </si>
  <si>
    <t>Garantizar una iluminación adecuada en todo el municipio para prevenir la delincuencia y mejorar la imagen urbana.</t>
  </si>
  <si>
    <t>4.7.1 Renovar las luminarias obsoletas por tecnología LED de bajo consumo.</t>
  </si>
  <si>
    <t>Número de luminarias renovadas.</t>
  </si>
  <si>
    <t>Renovar 1,000 luminarias en tres años.</t>
  </si>
  <si>
    <t>Reporte de avances en renovación y reducción del consumo energético.</t>
  </si>
  <si>
    <t>4.7.2 Instalar alumbrado en áreas que actualmente carecen de él, especialmente en zonas rurales.</t>
  </si>
  <si>
    <t>Número de nuevas instalaciones de alumbrado.</t>
  </si>
  <si>
    <t>Instalar alumbrado en al menos 50 nuevas áreas rurales en tres años.</t>
  </si>
  <si>
    <t>Inspecciones periódicas del funcionamiento del alumbrado en áreas nuevas.</t>
  </si>
  <si>
    <t>4.7.3 Implementar un sistema de monitoreo en tiempo real de la infraestructura de alumbrado.</t>
  </si>
  <si>
    <t>Número de instalaciones conectadas al sistema de monitoreo.</t>
  </si>
  <si>
    <t>Conectar el 100% de las luminarias al sistema en tres años.</t>
  </si>
  <si>
    <t>Reporte de incidencias y tiempo de respuesta para reparaciones.</t>
  </si>
  <si>
    <t>4.7.4 Realizar campañas de concientización sobre el uso responsable de la energía en el alumbrado público.</t>
  </si>
  <si>
    <t>Número de campañas realizadas y participantes.</t>
  </si>
  <si>
    <t>Realizar 2 campañas anuales con un alcance de 5,000 personas.</t>
  </si>
  <si>
    <t>Encuestas de conciencia sobre el uso responsable de la energía.</t>
  </si>
  <si>
    <t>4.7.5 Cumplimiento de norma oficial mexicana, ahorro de energía, luminarias de calidad.</t>
  </si>
  <si>
    <t>Censo de deficiencias y necesidades.</t>
  </si>
  <si>
    <t>Alumbrado en vialidades peatonales con riesgos de inseguridad.</t>
  </si>
  <si>
    <t>Censo general.</t>
  </si>
  <si>
    <t>4.7.6 Abastecer de infraestructura de iluminación al municipio</t>
  </si>
  <si>
    <t>Generar infraestructura que cubra con las necesidades del municipio desde la zona centro hasta las zonas más alejadas de la cabecera municipal</t>
  </si>
  <si>
    <t>Cubrir el municipio de Rincón de Romos con iluminación</t>
  </si>
  <si>
    <t>Iluminación en cada uno de los rincones del Municipio.</t>
  </si>
  <si>
    <t>* Servicios Públicos y Obras Públicas</t>
  </si>
  <si>
    <t>4.8.1 Búsqueda de padrinos de áreas verdes en el municipio.</t>
  </si>
  <si>
    <t>Número de espacios verdes apadrinados.</t>
  </si>
  <si>
    <t>5 espacios asignado a empresas o particulares</t>
  </si>
  <si>
    <t>4.8.2 Creación de nuevas áreas verdes en todo el municipio</t>
  </si>
  <si>
    <t>Nuevas áreas verdes</t>
  </si>
  <si>
    <t>10 nuevas áreas verdes en todo el municipio</t>
  </si>
  <si>
    <t>4.8.3 Mejorar la infraestructura de los parques y jardines existentes, incluyendo la instalación de sistemas de riego.</t>
  </si>
  <si>
    <t>Número de parques y jardines renovados.</t>
  </si>
  <si>
    <t>Renovar 5 parques y jardines en tres años.</t>
  </si>
  <si>
    <t>Supervisión de la mejora de infraestructura y satisfacción de los usuarios.</t>
  </si>
  <si>
    <t>4.8.4 Implementar programas de voluntariado para el mantenimiento de parques y jardines.</t>
  </si>
  <si>
    <t>Número de voluntarios involucrados en los programas.</t>
  </si>
  <si>
    <t>Reclutar 100 voluntarios anuales para mantenimiento.</t>
  </si>
  <si>
    <t>Evaluación de la eficiencia de los programas mediante la cantidad de trabajos realizados.</t>
  </si>
  <si>
    <t>4.8.5 Definir espacios para mascotas.</t>
  </si>
  <si>
    <t>Número de espacios especiales para mascotas en parques y jardines.</t>
  </si>
  <si>
    <t>4.8.6 Creación de nuevas áreas verdes en todo el municipio</t>
  </si>
  <si>
    <t>Gestionar los panteones municipales de manera eficiente, ofreciendo servicios de calidad y asegurando su buen estado durante todo el año.</t>
  </si>
  <si>
    <t>4.9.1 Realizar mantenimiento regular y mejoras en la infraestructura de los panteones.</t>
  </si>
  <si>
    <t>Número de panteones mantenidos y mejorados.</t>
  </si>
  <si>
    <t>Mejorar 3 panteones principales en tres años.</t>
  </si>
  <si>
    <t>Inspección anual del estado de los panteones y satisfacción de los usuarios.</t>
  </si>
  <si>
    <t>4.9.2 Implementar un sistema de gestión eficiente para el uso de espacios en los panteones.</t>
  </si>
  <si>
    <t>Número de espacios gestionados y vendidos.</t>
  </si>
  <si>
    <t>Gestionar y vender al menos 500 espacios en tres años.</t>
  </si>
  <si>
    <t>Evaluación del sistema de gestión y retroalimentación de los usuarios.</t>
  </si>
  <si>
    <t>4.9.3 Mejorar la seguridad en los panteones, instalando iluminación y video vigilancia.</t>
  </si>
  <si>
    <t>Número de panteones con seguridad mejorada.</t>
  </si>
  <si>
    <t>Instalar sistemas de seguridad en 3 panteones en tres años.</t>
  </si>
  <si>
    <t>Reporte de incidencias de seguridad y satisfacción de los visitantes.</t>
  </si>
  <si>
    <t>4.9.4 Promover la cultura del respeto y cuidado en los panteones a través de campañas informativas.</t>
  </si>
  <si>
    <t>Realizar 2 campañas anuales con un alcance de 3,000 personas.</t>
  </si>
  <si>
    <t>4.9.5 Ofrecer los servicios de inhumación, exhumación, entre otros.</t>
  </si>
  <si>
    <t>Control de orden, vigilancia y limpieza.</t>
  </si>
  <si>
    <t>Abastecer demanda con nuevas fosas y nichos</t>
  </si>
  <si>
    <t>4.9.6 Generar plan de mantenimientos y conservación periódicos para panteones, así como el desarrollo de estos</t>
  </si>
  <si>
    <t>Mayor capacidad, con espacios dignos.</t>
  </si>
  <si>
    <t>Conservar los panteones</t>
  </si>
  <si>
    <t>No realizar trabajos correctivos.</t>
  </si>
  <si>
    <t>Vigilar y promover: la conservación de los ecosistemas, las especias y las áreas naturales; el aumento de las áreas verdes, jardines polinizadores y un Jardín Botánico en el Municipio.</t>
  </si>
  <si>
    <t>4.10.1 Promover la creación de más viveros municipales para la producción de plantas locales.</t>
  </si>
  <si>
    <t>Número de viveros creados y plantas producidas.</t>
  </si>
  <si>
    <t>Crear 2 viveros en tres años, produciendo al menos 10,000 plantas anuales.</t>
  </si>
  <si>
    <t>Evaluación de la calidad y cantidad de plantas producidas.</t>
  </si>
  <si>
    <t>4.10.2 Desarrollar un Jardín Botánico Municipal con especies locales y de polinización.</t>
  </si>
  <si>
    <t>Número de especies plantadas y mantenidas.</t>
  </si>
  <si>
    <t>Plantar al menos 50 especies locales y de polinización en el jardín.</t>
  </si>
  <si>
    <t>Monitoreo del crecimiento y estado de las especies plantadas.</t>
  </si>
  <si>
    <t>4.10.3 Organizar talleres y actividades educativas sobre jardinería y conservación de especies locales.</t>
  </si>
  <si>
    <t>Número de talleres organizados y participantes.</t>
  </si>
  <si>
    <t>Realizar 6 talleres anuales con al menos 150 participantes.</t>
  </si>
  <si>
    <t>Encuestas de satisfacción y evaluación del conocimiento adquirido por los participantes.</t>
  </si>
  <si>
    <t>4.10.4 Establecer alianzas con instituciones educativas para promover el cuidado del medio ambiente.</t>
  </si>
  <si>
    <t>Número de alianzas establecidas y programas conjuntos.</t>
  </si>
  <si>
    <t>Establecer al menos 5 alianzas con escuelas y universidades.</t>
  </si>
  <si>
    <t>Evaluación de la colaboración a través de los resultados de los programas conjuntos.</t>
  </si>
  <si>
    <t>4.10.5 Definir y proteger áreas municipales de conservación.</t>
  </si>
  <si>
    <t>Cantidad de decretos.</t>
  </si>
  <si>
    <t>Publicación de los decretos.</t>
  </si>
  <si>
    <t>4.10.6 Crear catálogo de avistamiento de especies silvestres en el municipio.</t>
  </si>
  <si>
    <t>Cantidad de catálogos por tipos.</t>
  </si>
  <si>
    <t>Verificación de la existencia.</t>
  </si>
  <si>
    <t>4.10.7 Realización de patrullajes y verificaciones físicas.</t>
  </si>
  <si>
    <t>Cantidad de patrullajes.</t>
  </si>
  <si>
    <t>Bitácora de patrullaje. Fotografías.</t>
  </si>
  <si>
    <t>4.10.8 Fortalecimiento del vivero municipal.</t>
  </si>
  <si>
    <t>No. de Actividades que se realizan.</t>
  </si>
  <si>
    <t>4.10.9 Establecer un programa de arborización y reforestación.</t>
  </si>
  <si>
    <t>Espacios atendidos.</t>
  </si>
  <si>
    <t>Bitácora de registro. Fotografías.</t>
  </si>
  <si>
    <t>4.10.10 Establecer un programa de autoabastecimiento de plantas y árboles municipal.</t>
  </si>
  <si>
    <t>Cantidad de plantas autoabastecidas.</t>
  </si>
  <si>
    <t>4000 plantas autoabastecidas.</t>
  </si>
  <si>
    <t>Bitácora de donación e inspección física.</t>
  </si>
  <si>
    <t>4.10.11 Donación de plantas y árboles a público general</t>
  </si>
  <si>
    <t>Cantidad de plantas donadas.</t>
  </si>
  <si>
    <t>Donación de 20000 plantas.</t>
  </si>
  <si>
    <t>Bitácora de donación y fotografías.</t>
  </si>
  <si>
    <t>4.10.12 Establecimiento de jardines polinizadores.</t>
  </si>
  <si>
    <t>Cantidad de jardines.</t>
  </si>
  <si>
    <t>5 jardines polinizadores.</t>
  </si>
  <si>
    <t>Existencia de los jardines. Fotografías.</t>
  </si>
  <si>
    <t>4.10.13 Establecimiento de huertos medicinales.</t>
  </si>
  <si>
    <t>Cantidad de huertos.</t>
  </si>
  <si>
    <t>3 huertos medicinales.</t>
  </si>
  <si>
    <t>4.10.14 Establecimiento de un jardín botánico municipal.</t>
  </si>
  <si>
    <t>Cantidad de jardines</t>
  </si>
  <si>
    <t>1 jardín botánico.</t>
  </si>
  <si>
    <t>Bitácora de trabajo. Existencia de los jardines. Fotografías.</t>
  </si>
  <si>
    <t xml:space="preserve">4.10.15 Forestación gradual, rehabilitar camellones. </t>
  </si>
  <si>
    <t>Metros cuadrados reforestados</t>
  </si>
  <si>
    <t>Personas solicitan o adquieren árboles, mantener limpios parques y jardines, crear espacios recreativos.</t>
  </si>
  <si>
    <t>Anual y trianual.</t>
  </si>
  <si>
    <t>* Ecología y Servicios Públicos.</t>
  </si>
  <si>
    <t>Fomentar la conciencia ambiental para tener un municipio más verde y sostenible.</t>
  </si>
  <si>
    <t>4.11.1 Promover campañas educativas sobre la importancia de los árboles y espacios verdes.</t>
  </si>
  <si>
    <t>Realizar al menos 4 campañas anuales con 10,000 personas alcanzadas.</t>
  </si>
  <si>
    <t>Evaluación de conocimiento y cambio de comportamiento mediante encuestas.</t>
  </si>
  <si>
    <t>4.11.2 Implementar programas de reforestación en áreas urbanas y rurales.</t>
  </si>
  <si>
    <t>Número de árboles plantados y áreas reforestadas.</t>
  </si>
  <si>
    <t>Plantar 10,000 árboles en tres años, distribuidos entre áreas urbanas y rurales.</t>
  </si>
  <si>
    <t>Monitoreo del crecimiento y estado de los árboles plantados.</t>
  </si>
  <si>
    <t>4.11.3 Establecer áreas de conservación ecológica en el municipio.</t>
  </si>
  <si>
    <t>Número de áreas de conservación creadas.</t>
  </si>
  <si>
    <t>Crear 3 áreas de conservación ecológica en tres años.</t>
  </si>
  <si>
    <t>Inspección periódica del estado de las áreas y especies protegidas.</t>
  </si>
  <si>
    <t>4.11.4 Fomentar el uso de tecnologías verdes en la construcción y urbanización del municipio.</t>
  </si>
  <si>
    <t>Número de proyectos que implementan tecnologías verdes.</t>
  </si>
  <si>
    <t>Lograr que el 50% de los nuevos proyectos urbanos utilicen tecnologías verdes en tres años.</t>
  </si>
  <si>
    <t>Evaluación de proyectos a través de auditorías ambientales y seguimiento de su impacto.</t>
  </si>
  <si>
    <t>Actividades realizadas.</t>
  </si>
  <si>
    <t>200 actividades.</t>
  </si>
  <si>
    <t>Bitácora de actividades. Evidencias fotográficas.</t>
  </si>
  <si>
    <t>4.11.6 Desarrollar festivales de medio ambiente y ciencia.</t>
  </si>
  <si>
    <t>Festivales realizados.</t>
  </si>
  <si>
    <t>4.11.7 Desarrollar un programa de difusión de valorización de residuos.</t>
  </si>
  <si>
    <t>30 actividades realizadas.</t>
  </si>
  <si>
    <t>4.11.8 Establecer un programa de participación ciudadana en temas medio ambientales.</t>
  </si>
  <si>
    <t>12 actividades.</t>
  </si>
  <si>
    <t>* Ecología</t>
  </si>
  <si>
    <t>Verificar el cumplimiento de las leyes y reglamentos para el correcto manejo de residuos, generación de contaminantes y respeto y protección del medio ambiente.</t>
  </si>
  <si>
    <t>4.12.1 Implementar y reforzar la normativa sobre manejo de residuos sólidos.</t>
  </si>
  <si>
    <t>Número de inspecciones realizadas y sanciones aplicadas.</t>
  </si>
  <si>
    <t>Realizar 100 inspecciones anuales y aplicar sanciones a los infractores.</t>
  </si>
  <si>
    <t>Reporte anual de cumplimiento de normativas y acciones correctivas.</t>
  </si>
  <si>
    <t>4.12.2 Promover la separación de residuos en la fuente a través de campañas educativas.</t>
  </si>
  <si>
    <t>Número de hogares que implementan la separación de residuos.</t>
  </si>
  <si>
    <t>Lograr que al menos el 60% de los hogares separen residuos en tres años.</t>
  </si>
  <si>
    <t>Evaluación de la efectividad de las campañas mediante encuestas y visitas a hogares.</t>
  </si>
  <si>
    <t>4.12.3 Realizar auditorías ambientales en empresas locales para verificar el cumplimiento de las normativas.</t>
  </si>
  <si>
    <t>Número de auditorías realizadas y empresas auditadas.</t>
  </si>
  <si>
    <t>Realizar 50 auditorías a empresas locales en tres años.</t>
  </si>
  <si>
    <t>Informe sobre el cumplimiento de normativas y aplicación de medidas correctivas si es necesario.</t>
  </si>
  <si>
    <t>4.12.4 Fomentar la responsabilidad ambiental en la comunidad mediante actividades participativas.</t>
  </si>
  <si>
    <t>Número de actividades participativas realizadas y asistentes.</t>
  </si>
  <si>
    <t>Realizar 10 actividades anuales con un promedio de 200 participantes por actividad.</t>
  </si>
  <si>
    <t>Encuestas de satisfacción y evaluación de la efectividad en el cambio de comportamiento.</t>
  </si>
  <si>
    <t>Documentos redactados.</t>
  </si>
  <si>
    <t>Textos publicados. Diagnósticos realizados.</t>
  </si>
  <si>
    <t>4.12.6 Establecer un sistema de capacitación interna.</t>
  </si>
  <si>
    <t>Capacitaciones realizadas.</t>
  </si>
  <si>
    <t>15 capacitaciones.</t>
  </si>
  <si>
    <t>Registros de asistencia. Evidencia fotográfica.</t>
  </si>
  <si>
    <t>4.12.7 Diseñar un programa de gestión integral de residuos.</t>
  </si>
  <si>
    <t>Cantidad de residuos atendidos.</t>
  </si>
  <si>
    <t>7 tipos de residuos.</t>
  </si>
  <si>
    <t>Documentos. Evidencia fotográfica.</t>
  </si>
  <si>
    <t>* Ecología.</t>
  </si>
  <si>
    <t>Garantizar vialidades en todo el municipio dignas para la ciudadanía.</t>
  </si>
  <si>
    <t>4.13.1 Realizar un diagnóstico completo del estado de las vialidades del municipio.</t>
  </si>
  <si>
    <t>Número de kilómetros de vialidades inspeccionadas.</t>
  </si>
  <si>
    <t>Inspeccionar el 100% de las vialidades del municipio en el primer año.</t>
  </si>
  <si>
    <t>Informe sobre el estado de las vialidades y áreas críticas para mantenimiento.</t>
  </si>
  <si>
    <t>4.13.2 Planificar y ejecutar reparaciones en las vialidades más deterioradas.</t>
  </si>
  <si>
    <t>Número de kilómetros de vialidades reparadas.</t>
  </si>
  <si>
    <t>Reparar al menos 50 km de vialidades críticas en tres años.</t>
  </si>
  <si>
    <t>Evaluación del estado de las vialidades reparadas mediante inspecciones y feedback de usuarios.</t>
  </si>
  <si>
    <t>4.13.3 Implementar un programa de mantenimiento preventivo de vialidades para evitar daños mayores.</t>
  </si>
  <si>
    <t>Número de mantenimientos realizados y su frecuencia.</t>
  </si>
  <si>
    <t>Realizar 4 mantenimientos preventivos anuales en las vialidades principales.</t>
  </si>
  <si>
    <t>Informe de mantenimiento preventivo y estado general de las vialidades.</t>
  </si>
  <si>
    <t>4.13.4 Fomentar la colaboración con empresas privadas para el mantenimiento conjunto de vialidades.</t>
  </si>
  <si>
    <t>Número de alianzas establecidas con empresas para mantenimiento.</t>
  </si>
  <si>
    <t>Establecer al menos 5 alianzas con empresas para el mantenimiento vial en tres años.</t>
  </si>
  <si>
    <t>Evaluación de la eficiencia y cobertura de las alianzas a través de los resultados de los trabajos conjuntos.</t>
  </si>
  <si>
    <t>4.13.5 Programa de permanente de Bacheo en el municipio. De acuerdo con recorridos y denuncias</t>
  </si>
  <si>
    <t>Bacheo de cabecera y comunidades constantes y permanentes.</t>
  </si>
  <si>
    <t>Mantener las vialidades con conservación permanente.</t>
  </si>
  <si>
    <t>Cero baches en el municipio</t>
  </si>
  <si>
    <t>* Obras públicas</t>
  </si>
  <si>
    <t>4.14 Desarrollo de infraestructura que permita el crecimiento ordenado del municipio.</t>
  </si>
  <si>
    <t>Promover megaproyectos que garanticen el crecimiento social y económico del municipio</t>
  </si>
  <si>
    <t>4.14.1 Desarrollar un plan maestro de crecimiento urbano que contemple la expansión ordenada del municipio.</t>
  </si>
  <si>
    <t>Número de etapas completadas en el plan maestro.</t>
  </si>
  <si>
    <t>Completar al menos 3 etapas del plan maestro en tres años.</t>
  </si>
  <si>
    <t>Revisión y evaluación de los avances en la implementación del plan maestro.</t>
  </si>
  <si>
    <t>4.14.2 Promover la creación de nuevas zonas industriales y comerciales para fortalecer la economía local.</t>
  </si>
  <si>
    <t>Número de zonas desarrolladas y proyectos en marcha.</t>
  </si>
  <si>
    <t>Desarrollar al menos 2 zonas industriales y comerciales en tres años.</t>
  </si>
  <si>
    <t>Evaluación del impacto económico y social mediante análisis de empleo y crecimiento de negocios locales.</t>
  </si>
  <si>
    <t>4.14.3 Mejorar la infraestructura de servicios básicos (agua, electricidad, alcantarillado) en las nuevas zonas de crecimiento.</t>
  </si>
  <si>
    <t>Número de nuevos desarrollos con infraestructura básica adecuada.</t>
  </si>
  <si>
    <t>Asegurar que el 100% de las nuevas zonas tengan servicios básicos completos en tres años.</t>
  </si>
  <si>
    <t>Inspección de la infraestructura instalada y monitoreo de su funcionamiento.</t>
  </si>
  <si>
    <t>4.14.4 Fomentar la colaboración entre el sector público y privado para proyectos de infraestructura.</t>
  </si>
  <si>
    <t>Número de proyectos colaborativos con empresas privadas.</t>
  </si>
  <si>
    <t>Establecer al menos 5 proyectos colaborativos en tres años.</t>
  </si>
  <si>
    <t>Evaluación de la calidad y éxito de los proyectos mediante auditorías y retroalimentación de los involucrados.</t>
  </si>
  <si>
    <t>* Obras públicas y Desarrollo Económico y Agropecuario</t>
  </si>
  <si>
    <t>Impulsar el crecimiento de las pequeñas empresas, emprendimientos y sector turístico.</t>
  </si>
  <si>
    <t>5.1.1 Creación del Sello Rincón</t>
  </si>
  <si>
    <t>MiPyMES registradas</t>
  </si>
  <si>
    <t>5.1.2 Creación del Ecosistema emprendedor</t>
  </si>
  <si>
    <t>Emprendimientos registrados</t>
  </si>
  <si>
    <t>5.1.3 Desarrollo del programa turístico: Siente Rincón</t>
  </si>
  <si>
    <t>Plan de marketing</t>
  </si>
  <si>
    <t>5.1.4 Vinculación entre empresas y emprendimientos</t>
  </si>
  <si>
    <t>Convenios de colaboración</t>
  </si>
  <si>
    <t>5.1.5 Fondo productivo municipal: las mujeres primero</t>
  </si>
  <si>
    <t>29848 mujeres en condición de recibir un apoyo</t>
  </si>
  <si>
    <t>Créditos otorgados</t>
  </si>
  <si>
    <t>* Desarrollo Económico y Agropecuario</t>
  </si>
  <si>
    <t>Garantizar el apoyo a los productores agropecuarios de todos los ejidos que integran al municipio de Rincón de Romos.</t>
  </si>
  <si>
    <t>5.2.1 Brindar asistencia técnica y financiamiento a los productores agropecuarios.</t>
  </si>
  <si>
    <t>Número de productores atendidos y financiamiento otorgado.</t>
  </si>
  <si>
    <t>Atender al 70% de los productores agropecuarios de los ejidos en tres años.</t>
  </si>
  <si>
    <t>Evaluación del impacto en la productividad y satisfacción de los beneficiarios.</t>
  </si>
  <si>
    <t>5.2.2 Fomentar la adopción de tecnologías y prácticas agropecuarias sostenibles.</t>
  </si>
  <si>
    <t>Número de productores capacitados y nuevas tecnologías implementadas.</t>
  </si>
  <si>
    <t>Capacitar al 60% de los productores en prácticas sostenibles en tres años.</t>
  </si>
  <si>
    <t>Medición del aumento en la adopción de tecnologías sostenibles mediante encuestas a productores.</t>
  </si>
  <si>
    <t>5.2.3 Promover la comercialización de productos agropecuarios locales.</t>
  </si>
  <si>
    <t>Número de ferias, mercados y eventos organizados.</t>
  </si>
  <si>
    <t>Organizar 4 eventos anuales para la comercialización de productos locales.</t>
  </si>
  <si>
    <t>Evaluación de la participación y ventas generadas durante los eventos.</t>
  </si>
  <si>
    <t>5.2.4 Crear alianzas con instituciones educativas para investigación y desarrollo agropecuario.</t>
  </si>
  <si>
    <t>Número de convenios de colaboración establecidos.</t>
  </si>
  <si>
    <t>Establecer al menos 3 convenios con universidades y centros de investigación en tres años.</t>
  </si>
  <si>
    <t>Monitoreo de los resultados de las investigaciones y colaboración mediante informes anuales.</t>
  </si>
  <si>
    <t>5.2.5 Fomento al Uso de Semilla Mejorada de Maíz de Riego en el Municipio de Rincón de Romos</t>
  </si>
  <si>
    <t>Hectáreas</t>
  </si>
  <si>
    <t>1500 hectáreas</t>
  </si>
  <si>
    <t>Hectáreas sembradas</t>
  </si>
  <si>
    <t>5.2.6 Fomento al uso de Semilla Mejorada de Maíz y Frijol de Temporal en el Municipio de Rincón de Romos</t>
  </si>
  <si>
    <t>800 hectáreas</t>
  </si>
  <si>
    <t>5.2.7 Rehabilitación de Caminos Sacacosechas</t>
  </si>
  <si>
    <t>Kilómetros</t>
  </si>
  <si>
    <t>60 km</t>
  </si>
  <si>
    <t>Kilómetros rehabilitados</t>
  </si>
  <si>
    <t>5.2.8 Equipamiento Rural en el Municipio de Rincón de Romos: Herramientas (Cercos perimetrales, cisternas) y equipos (motosierras, motobombas, llantas traseras de tractor) nuevos y otros (cintilla).</t>
  </si>
  <si>
    <t>Apoyos</t>
  </si>
  <si>
    <t>150 apoyos como: cisternas (10 mil litros, 5 mil litros y 2,500 litros) cercos perimetrales (postes y alambre), llantas delanteras, motosierras, generadores eléctricos, cintilla, desbrozadoras.</t>
  </si>
  <si>
    <t>Apoyos otorgados</t>
  </si>
  <si>
    <t>5.2.9 Fomento al Mejoramiento Genético Bovino en el Municipio de Rincón de Romos</t>
  </si>
  <si>
    <t>Sementales bovinos</t>
  </si>
  <si>
    <t>20 sementales bovinos</t>
  </si>
  <si>
    <t>Sementales bovinos adquiridos</t>
  </si>
  <si>
    <t>5.2.10 Repoblamiento Ganadero en el Municipio de Rincón de Romos</t>
  </si>
  <si>
    <t>Vientres bovinos</t>
  </si>
  <si>
    <t>Adquisición de 60 vientres bovinos</t>
  </si>
  <si>
    <t>Vientres bovinos adquiridos</t>
  </si>
  <si>
    <t>5.2.11 Adquisición de alimento y Sales Minerales para Ganado Bovino en Rincón de Romos</t>
  </si>
  <si>
    <t>Paquetes de alimento</t>
  </si>
  <si>
    <t>Adquisición de 100 paquetes de alimento (concentrado) y sales minerales para ganado bovino</t>
  </si>
  <si>
    <t>Paquetes con alimento adquiridos</t>
  </si>
  <si>
    <t>5.2.12 Adquisición de Forrajes (cebada) para Ganado Bovino en Rincón de Romos</t>
  </si>
  <si>
    <t>Pacas de cebada</t>
  </si>
  <si>
    <t>Adquisición de 1,000 pacas de cebada</t>
  </si>
  <si>
    <t>Pacas de cebada adquiridas</t>
  </si>
  <si>
    <t xml:space="preserve">5.2.13 Tecnificación de la Presa El Saucillo </t>
  </si>
  <si>
    <t>Metros de línea de conducción de agua</t>
  </si>
  <si>
    <t>300 metros lineales de línea de conducción de agua</t>
  </si>
  <si>
    <t>Metros construidos</t>
  </si>
  <si>
    <t>5.2.14 Fomento a la Captación de agua de lluvia en el Municipio de Rincón de Romos</t>
  </si>
  <si>
    <t>Bordos de abrevadero y parcelarios</t>
  </si>
  <si>
    <t>Construcción y/o desensolve de 30 bordos de abrevadero y/o parcelarios</t>
  </si>
  <si>
    <t>Construcciones finalizadas</t>
  </si>
  <si>
    <t>5.2.15 Programa Emergente de Avena</t>
  </si>
  <si>
    <t>Sacos de semilla</t>
  </si>
  <si>
    <t>Adquisición de 1600 sacos de semilla de avena, impactando 800 hectáreas de áreas de temporal</t>
  </si>
  <si>
    <t>5.2.16 Fomento a la Producción de Maguey en el Municipio de Rincón de Romos</t>
  </si>
  <si>
    <t>Establecimiento de 20 Hectáreas de Maguey en módulos de 5 has cada uno</t>
  </si>
  <si>
    <t xml:space="preserve">Cantidad de hectáreas de maguey </t>
  </si>
  <si>
    <t>5.2.17 Capacitación e intercambio de experiencias para productores del Municipio de Rincón de Romos</t>
  </si>
  <si>
    <t>Talleres y expos</t>
  </si>
  <si>
    <t>Realización de 4 talleres y 2 visitas a Expos (Mazatlán e Irapuato)</t>
  </si>
  <si>
    <t>Organización y asistencia a talleres y expos</t>
  </si>
  <si>
    <t xml:space="preserve">5.2.18 Coordinación de Fondos de Desarrollo Rural </t>
  </si>
  <si>
    <t>Reuniones</t>
  </si>
  <si>
    <t>3 reuniones del Consejo para el Desarrollo Rural Sustentable del Municipio de Rincón de Romos, gasolina, papelería y consumibles para el correcto funcionamiento del departamento de Desarrollo Agropecuario</t>
  </si>
  <si>
    <t>Número de reuniones</t>
  </si>
  <si>
    <t>Desarrollo de talleres y capacitaciones en diversas áreas que fortalezcan los sistemas productivos del municipio.</t>
  </si>
  <si>
    <t>5.3.1 Impulsar talleres de capacitación en áreas productivas clave (agropecuaria, comercio, servicios).</t>
  </si>
  <si>
    <t>Realizar 20 talleres anuales con al menos 1,000 personas capacitadas.</t>
  </si>
  <si>
    <t>Encuestas de satisfacción y evaluación del impacto de las capacitaciones en la mejora de habilidades.</t>
  </si>
  <si>
    <t>5.3.2 Fomentar el emprendimiento mediante programas de capacitación empresarial.</t>
  </si>
  <si>
    <t>Número de emprendedores capacitados y proyectos creados.</t>
  </si>
  <si>
    <t>Capacitar a 300 emprendedores en tres años</t>
  </si>
  <si>
    <t>Evaluación de la creación de negocios a través del seguimiento de emprendedores y proyectos.</t>
  </si>
  <si>
    <t>5.3.3 Desarrollar programas de capacitación en habilidades tecnológicas y digitales.</t>
  </si>
  <si>
    <t>Número de programas implementados y personas capacitadas.</t>
  </si>
  <si>
    <t>Capacitar a al menos 500 personas en habilidades digitales en tres años.</t>
  </si>
  <si>
    <t>Medición del impacto en la adopción de tecnologías y competencias digitales mediante encuestas.</t>
  </si>
  <si>
    <t>5.3.4 Crear alianzas con empresas para la formación de recursos humanos en áreas específicas.</t>
  </si>
  <si>
    <t>Número de alianzas con empresas y programas conjuntos.</t>
  </si>
  <si>
    <t>Establecer 10 alianzas con empresas para formar a 1,000 personas en áreas demandadas.</t>
  </si>
  <si>
    <t>Evaluación de la efectividad de los programas mediante la inserción laboral y retroalimentación de las empresas.</t>
  </si>
  <si>
    <t>5.3.5 Fomentar la creación de cooperativas y empresas locales.</t>
  </si>
  <si>
    <t>10 capacitaciones</t>
  </si>
  <si>
    <t>Capacitaciones realizadas</t>
  </si>
  <si>
    <t>5.3.6 Crear zonas industriales para atraer inversión.</t>
  </si>
  <si>
    <t>Estudio de factibilidad</t>
  </si>
  <si>
    <t>Un estudio de factibilidad</t>
  </si>
  <si>
    <t>Resultados del estudio de factibilidad</t>
  </si>
  <si>
    <t xml:space="preserve">5.3.7 Desarrollo de Capacidades y Habilidades para el ecosistema emprendedor y empresarial. </t>
  </si>
  <si>
    <t xml:space="preserve">Cursos </t>
  </si>
  <si>
    <t>6 cursos al año.</t>
  </si>
  <si>
    <t>Porcentaje de personas beneficiadas por el programa respecto de la población potencial (población económicamente activa desocupada o subocupada atendida)</t>
  </si>
  <si>
    <t>* Desarrollo Social y Desarrollo Económico y Agropecuario</t>
  </si>
  <si>
    <t>Garantizar la normativa del municipio y su aplicación en todas las áreas de la administración municipal.</t>
  </si>
  <si>
    <t>5.4.1 Realizar una revisión integral de las normativas existentes y su aplicación.</t>
  </si>
  <si>
    <t>Número de normativas revisadas y actualizadas.</t>
  </si>
  <si>
    <t>Actualizar al 100% las normativas municipales en tres años.</t>
  </si>
  <si>
    <t>Informe de cumplimiento normativo y auditorías para evaluar su aplicación efectiva.</t>
  </si>
  <si>
    <t>5.4.2 Desarrollar una plataforma digital para la consulta y aplicación de normativas municipales.</t>
  </si>
  <si>
    <t>Número de usuarios de la plataforma y normativas disponibles.</t>
  </si>
  <si>
    <t>Crear una plataforma con al menos 500 usuarios registrados y 100 normativas accesibles en tres años.</t>
  </si>
  <si>
    <t>Análisis del uso de la plataforma y nivel de satisfacción mediante encuestas a usuarios.</t>
  </si>
  <si>
    <t>5.4.3 Impulsar la digitalización de procesos administrativos y servicios municipales.</t>
  </si>
  <si>
    <t>Número de procesos digitalizados.</t>
  </si>
  <si>
    <t>Digitalizar al menos 50 procesos administrativos en tres años.</t>
  </si>
  <si>
    <t>Evaluación de la eficiencia y reducción de tiempos mediante análisis de tiempos de respuesta antes y después de la digitalización.</t>
  </si>
  <si>
    <t>5.4.4 Implementar un sistema de monitoreo y cumplimiento de normativas en tiempo real.</t>
  </si>
  <si>
    <t>Número de normativas monitoreadas en tiempo real.</t>
  </si>
  <si>
    <t>Monitorear al menos 10 normativas clave en tiempo real en tres años.</t>
  </si>
  <si>
    <t>Informe de seguimiento y evaluación del cumplimiento normativo a través de sistemas de monitoreo.</t>
  </si>
  <si>
    <t>Actualizar el Bando de Policía y Gobierno acorde la realidad que se vive en el municipio.</t>
  </si>
  <si>
    <t>5.5.1 Realizar un diagnóstico para identificar áreas que requieren actualización en el Bando de Policía y Gobierno.</t>
  </si>
  <si>
    <t>Número de áreas evaluadas y actualizadas.</t>
  </si>
  <si>
    <t>Evaluar y actualizar al menos 10 áreas del Bando en tres años.</t>
  </si>
  <si>
    <t>Informe de diagnóstico y seguimiento de las actualizaciones realizadas.</t>
  </si>
  <si>
    <t>5.5.2 Consultar con la comunidad sobre las necesidades y expectativas para el Bando de Policía y Gobierno.</t>
  </si>
  <si>
    <t>Número de consultas realizadas y participantes.</t>
  </si>
  <si>
    <t>Realizar 5 consultas públicas anuales con al menos 300 participantes por consulta.</t>
  </si>
  <si>
    <t>Análisis de las consultas y reporte sobre las sugerencias y cambios propuestos.</t>
  </si>
  <si>
    <t>5.5.3 Actualizar las normativas del Bando de acuerdo con las tendencias y necesidades actuales.</t>
  </si>
  <si>
    <t>Número de modificaciones realizadas.</t>
  </si>
  <si>
    <t>Realizar al menos 10 modificaciones sustanciales al Bando en tres años.</t>
  </si>
  <si>
    <t>Revisión de las modificaciones realizadas y su impacto en la comunidad.</t>
  </si>
  <si>
    <t>5.5.4 Implementar campañas de difusión para dar a conocer las actualizaciones del Bando de Policía y Gobierno.</t>
  </si>
  <si>
    <t>Realizar 2 campañas anuales de difusión con 5,000 personas alcanzadas.</t>
  </si>
  <si>
    <t>Evaluación del alcance y comprensión de las campañas mediante encuestas.</t>
  </si>
  <si>
    <t>* Secretaría del H. Ayuntamiento</t>
  </si>
  <si>
    <t>Desarrollar las bases para contar con una ciudad inteligente, mediante el uso de tecnologías que permitan, entre otras cosas, automatizar edificios municipales, tener una planeación urbana eficiente y atraer empresas de base tecnológica.</t>
  </si>
  <si>
    <t>5.6.1 Concientizar a la administración municipal de los beneficios de ser una ciudad inteligente.</t>
  </si>
  <si>
    <t>Material publicitario y capacitación</t>
  </si>
  <si>
    <t>5.6.2 Colaborar con las diversas áreas para integrar el proyecto de la ciudad inteligente</t>
  </si>
  <si>
    <t>5.6.3 Conformar un comité de ciudad inteligente y entender los alcances de esta en términos del artículo 115 constitucional.</t>
  </si>
  <si>
    <t>Instalación del comité</t>
  </si>
  <si>
    <t>5.6.4 Impulso al sector empresarial para el desarrollo de la ciudad inteligente de Rincón de Romos.</t>
  </si>
  <si>
    <t>Número de áreas urbanas optimizadas a partir del análisis de datos.</t>
  </si>
  <si>
    <t>Dependencias municipales que lo utilizan</t>
  </si>
  <si>
    <t xml:space="preserve">5.6.6 Trámites administrativos al interior de la presidencia en una ventanilla única </t>
  </si>
  <si>
    <t xml:space="preserve">Ventanilla </t>
  </si>
  <si>
    <t>Un solo módulo de ventanilla multitrámite, mapa y orientación</t>
  </si>
  <si>
    <t xml:space="preserve">Anual </t>
  </si>
  <si>
    <t xml:space="preserve">5.6.7 Mapa base digital de consulta para las nuevas inversiones </t>
  </si>
  <si>
    <t xml:space="preserve">Cobertura del territorio </t>
  </si>
  <si>
    <t>5.6.8 Reformas en materia de desarrollo urbano para la implementación de tecnologías de nuevas empresas</t>
  </si>
  <si>
    <t>Reglamento</t>
  </si>
  <si>
    <t xml:space="preserve">5.6.9 Módulos de orientación de trámites y servicios administrativos </t>
  </si>
  <si>
    <t>5.6.10 Creación de plataforma en dirección de Obras públicas con control de expedientes e información al día de los expedientes de obra.</t>
  </si>
  <si>
    <t>Conservar, mantener y desarrollar constantemente el sistema.</t>
  </si>
  <si>
    <t>Interacción de información en tiempo real</t>
  </si>
  <si>
    <t>Contar con un sistema confiable.</t>
  </si>
  <si>
    <t>* Planeación y Desarrollo, Desarrollo Económico y Agropecuario, Dirección de Administración, Servicios Públicos, Ecología, Obras Públicas y, Comunicación Social y Relaciones Públicas.</t>
  </si>
  <si>
    <t>Instalar los sistemas municipales en materia de: información estadística, presupuestos planeación urbana y ordenamiento territorial, planeación estratégica y evaluación del PDM y las políticas públicas propuestas.</t>
  </si>
  <si>
    <t>5.7.1 Capacitar al personal de las áreas involucradas (Planeación, Tesorería, Servicios Públicos, etc.) en el uso de sistemas digitales para la recopilación y análisis de datos.</t>
  </si>
  <si>
    <t>Número de funcionarios capacitados y sistemas implementados.</t>
  </si>
  <si>
    <t>Capacitar al 80% del personal en las áreas clave. Tener los sistemas básicos de datos operativos al final de los tres años.</t>
  </si>
  <si>
    <t>Evaluar el progreso en los tres años, verificando la implementación y uso efectivo de los sistemas por el personal capacitado.</t>
  </si>
  <si>
    <t>5.7.2 Crear un comité interinstitucional para revisar y coordinar la implementación del sistema de planeación estratégica y territorial.</t>
  </si>
  <si>
    <t>Existencia de un comité activo, reuniones periódicas y avances documentados.</t>
  </si>
  <si>
    <t>Establecer el comité y asegurar al menos 12 reuniones al año, con informes documentados.</t>
  </si>
  <si>
    <t>Verificar la actividad del comité y los informes anuales de progreso en la implementación.</t>
  </si>
  <si>
    <t>5.7.3 Realizar encuestas periódicas para evaluar la calidad y utilidad de los datos estadísticos en la toma de decisiones.</t>
  </si>
  <si>
    <t>Número de encuestas realizadas y evaluación de satisfacción.</t>
  </si>
  <si>
    <t>Realizar al menos 2 encuestas anuales con un 70% de satisfacción en la calidad de los datos.</t>
  </si>
  <si>
    <t>Revisar los resultados de las encuestas y ajustar las acciones de acuerdo con la retroalimentación obtenida.</t>
  </si>
  <si>
    <t>5.7.4 Establecer un sistema de seguimiento y evaluación del PDM y las políticas públicas.</t>
  </si>
  <si>
    <t>Número de indicadores de seguimiento implementados y evaluaciones anuales.</t>
  </si>
  <si>
    <t>Implementar al menos 5 indicadores clave de desempeño para el seguimiento del PDM.</t>
  </si>
  <si>
    <t>Evaluar la efectividad del sistema mediante los resultados de los indicadores y las recomendaciones anuales del comité.</t>
  </si>
  <si>
    <t>5.7.5 Promover en la institución la evaluación y el monitoreo para contribuir a la mejora continua de la gestión gubernamental en el municipio</t>
  </si>
  <si>
    <t>A través de formularios</t>
  </si>
  <si>
    <t>Generar formulario medible y alcanzable a través del POA</t>
  </si>
  <si>
    <t>Trimestral</t>
  </si>
  <si>
    <t>5.7.6 Seguimiento de proyectos a implementar para proyectos por área administrativa</t>
  </si>
  <si>
    <t>Garantizar que los proyectos se estén llevando a cabo de forma correcta</t>
  </si>
  <si>
    <t>5.7.7 Seguimiento y evaluación de los instrumentos de planeación y las consultas ciudadanas</t>
  </si>
  <si>
    <t>Mesas de trabajo</t>
  </si>
  <si>
    <t>Instrumento por delegación</t>
  </si>
  <si>
    <t>* Planeación y Desarrollo, Desarrollo Económico y Agropecuario, Dirección de Administración, Tesorería, Servicios Públicos, Ecología, Obras Públicas y, Comunicación Social y Relaciones Públicas.</t>
  </si>
  <si>
    <t>Establecer los mecanismos de comunicación interna y externa para divulgar el quehacer del municipio.</t>
  </si>
  <si>
    <t>5.8.1 Crear una plataforma digital (sitio web y redes sociales) para divulgar las actividades y resultados del municipio.</t>
  </si>
  <si>
    <t>Número de publicaciones, interacciones y visitas mensuales.</t>
  </si>
  <si>
    <t>Tener al menos 4 publicaciones semanales en redes sociales y un sitio web actualizado mensualmente.</t>
  </si>
  <si>
    <t>Medir la cantidad de interacciones y visitas, asegurando que se mantenga un flujo constante de información.</t>
  </si>
  <si>
    <t>5.8.2 Establecer canales de comunicación interna regulares entre las dependencias municipales.</t>
  </si>
  <si>
    <t>Número de reuniones internas y protocolos establecidos.</t>
  </si>
  <si>
    <t>Realizar al menos 1 reunión mensual entre las áreas clave del municipio.</t>
  </si>
  <si>
    <t>Evaluar la eficiencia de la comunicación interna mediante encuestas al personal y seguimiento de los acuerdos tomados.</t>
  </si>
  <si>
    <t>5.8.3 Capacitar a los funcionarios en el uso de herramientas digitales para mejorar la comunicación.</t>
  </si>
  <si>
    <t>Número de funcionarios capacitados y uso efectivo de herramientas.</t>
  </si>
  <si>
    <t>Capacitar al 90% del personal en herramientas de comunicación digital.</t>
  </si>
  <si>
    <t>Evaluar la participación activa en plataformas digitales y la calidad de las interacciones.</t>
  </si>
  <si>
    <t>5.8.4 Crear boletines informativos mensuales sobre el progreso y eventos del municipio.</t>
  </si>
  <si>
    <t>Número de boletines distribuidos y nivel de lectura/interacción.</t>
  </si>
  <si>
    <t>Distribuir al menos 10 boletines al año, con un 60% de tasa de apertura.</t>
  </si>
  <si>
    <t>Evaluar la tasa de apertura y retroalimentación para ajustar los boletines a las necesidades del público.</t>
  </si>
  <si>
    <t>* Comunicación Social y Relaciones Públicas.</t>
  </si>
  <si>
    <t>Desarrollar la estrategia de gobierno digital para facilitar la recaudación y la expedición de certificados electrónicos.</t>
  </si>
  <si>
    <t>5.9.1 Implementar un sistema de pago en línea para servicios municipales.</t>
  </si>
  <si>
    <t>Número de usuarios registrados y pagos realizados.</t>
  </si>
  <si>
    <t>Tener al menos un 30% de los usuarios que utilicen el sistema de pago digital en los primeros 2 años.</t>
  </si>
  <si>
    <t>Monitorear las transacciones mensuales y encuestar a los usuarios sobre la facilidad de uso del sistema.</t>
  </si>
  <si>
    <t>5.9.2 Digitalizar los procesos de expedición de certificados y documentos oficiales.</t>
  </si>
  <si>
    <t>Número de documentos expedidos electrónicamente.</t>
  </si>
  <si>
    <t>Digitalizar al menos el 70% de los documentos solicitados anualmente.</t>
  </si>
  <si>
    <t>Evaluar la eficiencia del sistema mediante tiempos de expedición y satisfacción de los usuarios.</t>
  </si>
  <si>
    <t>5.9.3 Capacitar a los empleados de la administración en el uso del sistema digital.</t>
  </si>
  <si>
    <t>Número de funcionarios capacitados y utilización del sistema.</t>
  </si>
  <si>
    <t>Capacitar al 100% del personal involucrado en el proceso de gobierno digital.</t>
  </si>
  <si>
    <t>Realizar encuestas de retroalimentación para medir el nivel de conocimiento y habilidades del personal.</t>
  </si>
  <si>
    <t>5.9.4 Promover la estrategia de gobierno digital en los medios locales.</t>
  </si>
  <si>
    <t>Número de campañas y promoción realizada.</t>
  </si>
  <si>
    <t>Realizar al menos 4 campañas informativas sobre la plataforma digital al año.</t>
  </si>
  <si>
    <t>Evaluar el impacto de las campañas mediante el aumento en el uso de los servicios digitales.</t>
  </si>
  <si>
    <t>Porcentaje de tramites</t>
  </si>
  <si>
    <t>Unidad administrativa</t>
  </si>
  <si>
    <t>5.9.6 Plataforma multitrámite</t>
  </si>
  <si>
    <t>* OOAPAS, Dirección de Administración, Tesorería, Planeación y Desarrollo y, Comunicación Social y Relaciones Públicas.</t>
  </si>
  <si>
    <t>EJE 3: RINCÓN SANO Y FELIZ</t>
  </si>
  <si>
    <t>1.1.1 Implementar un programa de capacitación continua para policías municipales en temas de prevención del delito, uso de la fuerza y derechos humanos.</t>
  </si>
  <si>
    <t>1.1.3 Crear un programa de proximidad social para fomentar la confianza entre la ciudadanía y la policía.</t>
  </si>
  <si>
    <t>1.1.5. Retirar de circulación las unidades con mayor desgaste y mayores costos de mantenimiento.</t>
  </si>
  <si>
    <t>Eficiencia en la reasignación.</t>
  </si>
  <si>
    <t>1.2.4 Implementar un sistema gratuito de alertas vía WhatsApp para prevención en zonas de riesgo.</t>
  </si>
  <si>
    <t>1.2.6 Instalar cámaras comunitarias en puntos estratégicos utilizando dispositivos donados o reciclados.</t>
  </si>
  <si>
    <t>1.2.7 Crear una base de datos colaborativa para registrar incidentes locales a través de Google Forms.</t>
  </si>
  <si>
    <t>1.2.9 Atención y canalización
de jóvenes que consumen sustancias psicoactivas.</t>
  </si>
  <si>
    <t>1.2.10 Actualización de equipo de cómputo y material de las brigadas para Programas Preventivos.</t>
  </si>
  <si>
    <t>Establecer 5 espacios seguros en 24 meses.</t>
  </si>
  <si>
    <t>EJE 2: RINCÓN RESPONSABLE Y CULTO</t>
  </si>
  <si>
    <t>Garantizar la seguridad de las niñas y mujeres erradicando el acoso sexual y los diversos tipos de violencia que sufren.</t>
  </si>
  <si>
    <t>2.1.1 Realizar talleres de sensibilización sobre violencia de género en escuelas y comunidades.</t>
  </si>
  <si>
    <t>Número de talleres impartidos y asistentes.</t>
  </si>
  <si>
    <t>Organizar 12 talleres en un plazo de 12 meses.</t>
  </si>
  <si>
    <t>Encuestas de percepción y reducción de casos reportados de violencia.</t>
  </si>
  <si>
    <t>2.1.2 Crear redes de apoyo entre mujeres a través de grupos de WhatsApp.</t>
  </si>
  <si>
    <t>Número de redes activas.</t>
  </si>
  <si>
    <t>Formar 10 redes comunitarias en 18 meses.</t>
  </si>
  <si>
    <t>Evaluación semestral del uso y utilidad de los
grupos.</t>
  </si>
  <si>
    <t>2.1.3 Habilitar espacios seguros en puntos estratégicos del municipio.</t>
  </si>
  <si>
    <t>Número de espacios habilitados.</t>
  </si>
  <si>
    <t>Supervisión trimestral del uso y satisfacción de los espacios.</t>
  </si>
  <si>
    <t>2.1.4 Promover campañas de denuncia anónima en redes sociales y buzones físicos.</t>
  </si>
  <si>
    <t>Número de denuncias recibidas.</t>
  </si>
  <si>
    <t>Recibir al menos 50 denuncias en un plazo de 3 años.</t>
  </si>
  <si>
    <t>Análisis anual del impacto
de las campañas y seguimiento de las
denuncias.</t>
  </si>
  <si>
    <t>2.1.5 Fomentar el conocimiento de la policía rosa.</t>
  </si>
  <si>
    <t>Número de personas que lo conozcan.</t>
  </si>
  <si>
    <t>Hacer que el
100% de las personas lo conozcan en un tiempo de
1 año.</t>
  </si>
  <si>
    <t>Medir el impacto que genere al termino de 1 año.</t>
  </si>
  <si>
    <t>Crear un gobierno municipal donde mujeres y hombres tengan las mismas oportunidades</t>
  </si>
  <si>
    <t>2.2.1 Implementar un programa de capacitación en igualdad de género para empleados municipales.</t>
  </si>
  <si>
    <t>Número de empleados capacitados.</t>
  </si>
  <si>
    <t>Capacitar al
100% del personal en
18 meses.</t>
  </si>
  <si>
    <t>2.2.2 Crear un sistema de seguimiento de
equidad salarial.</t>
  </si>
  <si>
    <t>Registro de discrepancias salariales.</t>
  </si>
  <si>
    <t>Revisión anual de registros salariales.</t>
  </si>
  <si>
    <t>2.2.3 Realizar campañas de sensibilización sobre igualdad de oportunidades.</t>
  </si>
  <si>
    <t>Número de campañas realizadas.</t>
  </si>
  <si>
    <t>Llevar a cabo
6 campañas en 2 años.</t>
  </si>
  <si>
    <t>Encuestas de percepción ciudadana.</t>
  </si>
  <si>
    <t>2.2.4 Promover concursos para cubrir vacantes con
criterios de igualdad
de género.</t>
  </si>
  <si>
    <t>Porcentaje de vacantes cubiertas con paridad.</t>
  </si>
  <si>
    <t>Alcanzar una paridad del
50% en 3 años.</t>
  </si>
  <si>
    <t>Informe anual de contrataciones.</t>
  </si>
  <si>
    <t>Hacer de Rincón de Romos un municipio más cultural, donde todos puedan disfrutar del arte y la cultura, y donde se promueva la
igualdad y la paz.</t>
  </si>
  <si>
    <t>2.3.1 Organizar ferias culturales itinerantes en comunidades
rurales.</t>
  </si>
  <si>
    <t>Número de ferias realizadas.</t>
  </si>
  <si>
    <t>Realizar 8 ferias en 2 años.</t>
  </si>
  <si>
    <t>Encuestas de asistencia y percepción de
impacto.</t>
  </si>
  <si>
    <t>2.3.2 Crear un programa de cine al aire libre en comunidades.</t>
  </si>
  <si>
    <t>Número de proyecciones realizadas.</t>
  </si>
  <si>
    <t>Llevar a cabo 20 proyecciones en 3 años.</t>
  </si>
  <si>
    <t>Evaluación trimestral de asistencia y participación.</t>
  </si>
  <si>
    <t>2.3.3 Fomentar talleres de arte gratuitos en plazas públicas.</t>
  </si>
  <si>
    <t>Número de talleres impartidos.</t>
  </si>
  <si>
    <t>Realizar 15 talleres en 2 años.</t>
  </si>
  <si>
    <t>Encuestas de satisfacción de los asistentes.</t>
  </si>
  <si>
    <t>2.3.4 Promover la lectura mediante un programa de intercambio de libros comunitarios.</t>
  </si>
  <si>
    <t>Número de puntos de intercambio creados.</t>
  </si>
  <si>
    <t>Establecer
10 puntos en
1 año.</t>
  </si>
  <si>
    <t>Supervisión semestral del uso de los puntos.</t>
  </si>
  <si>
    <t>2.3.6 Fomentar clases de todo tipo de bailes en la plaza principal
para todas las personas.</t>
  </si>
  <si>
    <t>Numero de clases realizadas.</t>
  </si>
  <si>
    <t>Realizar un total de 10 clases en un
tiempo de 1 año.</t>
  </si>
  <si>
    <t>2.3.7 Fomento al teatro, la música la pintura y la danza</t>
  </si>
  <si>
    <t>600 personas</t>
  </si>
  <si>
    <t>1,500 personas</t>
  </si>
  <si>
    <t>Número de presentaciones artísticas</t>
  </si>
  <si>
    <t>2.3.8 Programa permanente vamos al teatro</t>
  </si>
  <si>
    <t>3,100</t>
  </si>
  <si>
    <t>5,000</t>
  </si>
  <si>
    <t>Número de presentaciones</t>
  </si>
  <si>
    <t>2.3.9 Talleres de gráfica, grabado, dibujo, encuadernación,
pasta flexible,
fotografía, talabartería.</t>
  </si>
  <si>
    <t>3,000 personas</t>
  </si>
  <si>
    <t>5,000 personas</t>
  </si>
  <si>
    <t>Cantidad de talleres</t>
  </si>
  <si>
    <t>2.3.10 Creación de la orquesta sinfónica</t>
  </si>
  <si>
    <t>25 músicos</t>
  </si>
  <si>
    <t>50 músicos</t>
  </si>
  <si>
    <t>Orquesta activa</t>
  </si>
  <si>
    <t>2.3.11 Ballet folclórico del municipio</t>
  </si>
  <si>
    <t>34 bailarines</t>
  </si>
  <si>
    <t>50 bailarines</t>
  </si>
  <si>
    <t>2.3.12 Concierto navideño</t>
  </si>
  <si>
    <t>500 personas</t>
  </si>
  <si>
    <t>1,000 personas</t>
  </si>
  <si>
    <t>Cantidad de asistentes al concierto</t>
  </si>
  <si>
    <t>2.3.13 Sala de lectura, poesía, cuantos
cortos, biografías y novelas históricas</t>
  </si>
  <si>
    <t>Número de visitantes</t>
  </si>
  <si>
    <t>2.3.14 Talleres de ballet folclórico, pintura, Guitarra,
piano, Violín, saxofón, fotografía, teatro, talabartería, danza clásica, alfarería</t>
  </si>
  <si>
    <t>1000 personas</t>
  </si>
  <si>
    <t>Asistentes a los talleres</t>
  </si>
  <si>
    <t>Impulsar programas culturales que permitan a los habitantes de Rincón de Romos explorar y disfrutar de diferentes expresiones artísticas, fomentando así su desarrollo integral.</t>
  </si>
  <si>
    <t>2.4.1 Crear un festival anual para artistas locales.</t>
  </si>
  <si>
    <t>Número de artistas participantes.</t>
  </si>
  <si>
    <t>Organizar 3 festivales en 3 años.</t>
  </si>
  <si>
    <t>Encuestas de percepción de asistentes y artistas.</t>
  </si>
  <si>
    <t>2.4.2 Ofrecer becas para formación artística a jóvenes talentos.</t>
  </si>
  <si>
    <t>Número de becas otorgadas.</t>
  </si>
  <si>
    <t>Otorgar 15 becas en 3 años.</t>
  </si>
  <si>
    <t>Evaluación del progreso de
los becados.</t>
  </si>
  <si>
    <t>2.4.3 Establecer espacios de exposición permanente en plazas públicas.</t>
  </si>
  <si>
    <t>Número de exposiciones realizadas.</t>
  </si>
  <si>
    <t>Realizar 10 exposiciones en
2 años.</t>
  </si>
  <si>
    <t>Supervisión mensual del mantenimiento de los espacios.</t>
  </si>
  <si>
    <t>2.4.4 Crear un directorio de artistas locales para
promover su trabajo.</t>
  </si>
  <si>
    <t>Número de artistas registrados.</t>
  </si>
  <si>
    <t>Registrar al menos 50 artistas en 1 año.</t>
  </si>
  <si>
    <t>Actualización semestral del directorio.</t>
  </si>
  <si>
    <t>2.4.5 Generar una página en redes sociales donde se pueda promover a los diferentes talentos que vayan surgiendo.</t>
  </si>
  <si>
    <t>Numero de artistas registrados.</t>
  </si>
  <si>
    <t>Promover un aproximadamente
60 artista en un tiempo de 1 año.</t>
  </si>
  <si>
    <t>Supervisar la cantidad de afinidad que tiene la página y que tanto apoyo se les
da a los artistas.</t>
  </si>
  <si>
    <t>2.4.6 Promover a los talentos en un espacio de la radio para que más personas los conozcan.</t>
  </si>
  <si>
    <t>Numero de artistas que participen.</t>
  </si>
  <si>
    <t>Llevar mínimo un total de 20 artistas a un
espacio dentro de la radio.</t>
  </si>
  <si>
    <t>Monitorear la cantidad de personas que
estén consumiendo el programa de la radio
cada 3 meses.</t>
  </si>
  <si>
    <t>2.4.7 Museografía</t>
  </si>
  <si>
    <t>Visitantes</t>
  </si>
  <si>
    <t>4,500 visitantes</t>
  </si>
  <si>
    <t>Cantidad de visitantes</t>
  </si>
  <si>
    <t>2.4.8 Festival del matlachín</t>
  </si>
  <si>
    <t>Personas</t>
  </si>
  <si>
    <t>7,000 personas</t>
  </si>
  <si>
    <t>Cantidad de personas en el festival</t>
  </si>
  <si>
    <t>2.4.9 Fandangos culturales</t>
  </si>
  <si>
    <t>57,400 personas</t>
  </si>
  <si>
    <t>Número de asistentes</t>
  </si>
  <si>
    <t>2.4.10 Dignificación de espacio arquitectónicos comunitarios</t>
  </si>
  <si>
    <t>Espacios</t>
  </si>
  <si>
    <t>15 espacios</t>
  </si>
  <si>
    <t>Cantidad de espacios</t>
  </si>
  <si>
    <t>2.4.11 Intervención y remodelación de espacios
arquitectónicos emblemáticos del municipio</t>
  </si>
  <si>
    <t>4 espacios</t>
  </si>
  <si>
    <t>Cantidad de intervención en espacios</t>
  </si>
  <si>
    <t>2.4.12 Fomento a la investigación micro histórica</t>
  </si>
  <si>
    <t>Escuelas</t>
  </si>
  <si>
    <t>50 escuelas</t>
  </si>
  <si>
    <t>Cantidad de escuelas participantes</t>
  </si>
  <si>
    <r>
      <t>*</t>
    </r>
    <r>
      <rPr>
        <sz val="10"/>
        <color rgb="FF000000"/>
        <rFont val="Calibri"/>
        <family val="2"/>
      </rPr>
      <t xml:space="preserve"> Desarrollo Económico y Agropecuario.</t>
    </r>
  </si>
  <si>
    <t>Mejorar la calidad de vida de las familias de Rincón de Romos a través de programas que promuevan la vivienda digna, el acceso a alimentos y el fortalecimiento del núcleo familiar.</t>
  </si>
  <si>
    <t>2.5.1 Organizar talleres de economía doméstica y nutrición para familias.</t>
  </si>
  <si>
    <t>Número de talleres realizados y asistentes.</t>
  </si>
  <si>
    <t>Realizar 12 talleres en 18 meses.</t>
  </si>
  <si>
    <t>Encuestas de satisfacción y cambios reportados en prácticas familiares.</t>
  </si>
  <si>
    <t>2.5.2 Crear un banco comunitario de alimentos mediante donaciones locales.</t>
  </si>
  <si>
    <t>Cantidad de alimentos distribuidos por mes.</t>
  </si>
  <si>
    <t>Atender a 200 familias mensualmente durante 3
años.</t>
  </si>
  <si>
    <t>Evaluación semestral de impacto en las familias
beneficiadas.</t>
  </si>
  <si>
    <t>2.5.3 Habilitar espacios recreativos familiares en plazas públicas.</t>
  </si>
  <si>
    <t>Número de espacios acondicionados.</t>
  </si>
  <si>
    <t>Establecer 5 espacios recreativos en
2 años.</t>
  </si>
  <si>
    <t>Supervisión trimestral de uso y satisfacción.</t>
  </si>
  <si>
    <t>2.5.4 Promover eventos familiares como picnics y actividades recreativas.</t>
  </si>
  <si>
    <t>Número de eventos organizados.</t>
  </si>
  <si>
    <t>Realizar 8 eventos en 2 años.</t>
  </si>
  <si>
    <t>Encuestas de asistencia y percepción de impacto en la comunidad.</t>
  </si>
  <si>
    <t>2.5.5 Realizar clases de adiestramiento canino para que las familias lleven a sus
mascotas y realicen
actividades recreativas.</t>
  </si>
  <si>
    <t>Realizar un total de 12 clases en un tiempo estimado de 1 año.</t>
  </si>
  <si>
    <t>Monitorear la asistencia de personas y mascotas semestralmente.</t>
  </si>
  <si>
    <t>Numero de mercaditos realizados.</t>
  </si>
  <si>
    <t>2.5.7 Construcción de
Cuarto dormitorio</t>
  </si>
  <si>
    <t>Estudio socio económico</t>
  </si>
  <si>
    <t>60 cuartos en trienio.</t>
  </si>
  <si>
    <t>Actas de seguimiento, minutas, evidencias fotográficas</t>
  </si>
  <si>
    <t>2.5.8 Construcción de
Baño</t>
  </si>
  <si>
    <t>30 baños en trienio</t>
  </si>
  <si>
    <t>2.5.9 Construcción de
Cocina</t>
  </si>
  <si>
    <t>15 baños en trienio.</t>
  </si>
  <si>
    <t>Actas de seguimiento, minutas,
evidencias fotográficas</t>
  </si>
  <si>
    <t>2.5.10 Calentadores
Solares</t>
  </si>
  <si>
    <t>250 en trienio.</t>
  </si>
  <si>
    <t>Actas de seguimiento, minutas, evidencias fotográficas.</t>
  </si>
  <si>
    <t>2.5.11 Instalación de Paneles Solares en viviendas del medio rural</t>
  </si>
  <si>
    <t>50 viviendas</t>
  </si>
  <si>
    <t>2.5.12 Apoyo Básico a la Vivienda</t>
  </si>
  <si>
    <t>300 viviendas</t>
  </si>
  <si>
    <t>Minutas de seguimiento,
evidencias fotográficas.</t>
  </si>
  <si>
    <t>2.5.13 Colaborar activamente con desarrollo social en el diseño e implementación de
1600 preguntas con las
cuales podamos detectar las principales problemáticas que aquejan a las/los jóvenes de Rincón de Romos.</t>
  </si>
  <si>
    <t>Cumplir con el
100% de la aplicación.</t>
  </si>
  <si>
    <t>1600 cuestionarios contestados</t>
  </si>
  <si>
    <t>Cuestionario contestado</t>
  </si>
  <si>
    <t>Crear 1 grupo por delegación y generar 4 grupos en las principales colonias de la cabeza municipal.</t>
  </si>
  <si>
    <t>7 espacios de diálogos</t>
  </si>
  <si>
    <t>Evidencias fotográficas.</t>
  </si>
  <si>
    <t>2.5.15 Por medio de la dirección de jóvenes gestionar el espacio público del municipio, permisos para la instalación de sus emprendimientos y con ello incrementar el turismo y la movilización económica en los jóvenes de Rincón de Romos.</t>
  </si>
  <si>
    <t>Generación de 50 espacios para emprendedores.</t>
  </si>
  <si>
    <t>50 espacios para jóvenes emprendedores.</t>
  </si>
  <si>
    <t>Invitaciones. Evidencia fotográfica.</t>
  </si>
  <si>
    <t>2.5.16 Participación de jóvenes talentos sábados, domingos y días festivos en las principales plazas del municipio e incentivarlos económicamente.</t>
  </si>
  <si>
    <t>Cubrir con jóvenes talentos el 50 % de sábados, domingos y días festivos del año.</t>
  </si>
  <si>
    <t>50 % de sábados, domingos y días festivos del año
* concursos al año.</t>
  </si>
  <si>
    <t>Evidencia fotográfica.</t>
  </si>
  <si>
    <t>Mejorar la salud de
los jóvenes mediante la prevención y atención de enfermedades crónicas, adicciones, lesiones y embarazos no planeados en adolescentes, promoviendo estilos de vida saludables y fortaleciendo la participación ciudadana.</t>
  </si>
  <si>
    <t>2.6.1 Implementar talleres de educación sexual y prevención de adicciones en
escuelas.</t>
  </si>
  <si>
    <t>Número de talleres impartidos y jóvenes asistentes.</t>
  </si>
  <si>
    <t>Realizar 20 talleres en 2 años.</t>
  </si>
  <si>
    <t>Encuestas de conocimiento antes y después de los talleres.</t>
  </si>
  <si>
    <t>2.6.2 Promover la práctica de deportes a través de torneos comunitarios.</t>
  </si>
  <si>
    <t>Número de torneos organizados y equipos participantes.</t>
  </si>
  <si>
    <t>Organizar 10 torneos en 3 años.</t>
  </si>
  <si>
    <t>Evaluación de participación y percepción de los jóvenes.</t>
  </si>
  <si>
    <t>2.6.3 Crear campañas de sensibilización sobre salud mental en redes sociales.</t>
  </si>
  <si>
    <t>Alcance y participación en las campañas.</t>
  </si>
  <si>
    <t>Realizar 5 campañas en
3 años.</t>
  </si>
  <si>
    <t>Análisis del impacto mediante
encuestas en línea.</t>
  </si>
  <si>
    <t>2.6.4 Formar comités juveniles para promover actividades de interés social.</t>
  </si>
  <si>
    <t>Número de comités formados y activos.</t>
  </si>
  <si>
    <t>Formar 5 comités en
18 meses.</t>
  </si>
  <si>
    <t>2.6.5 Difusión     del programa     Jóvenes construyendo       el futuro       en comerciantes Rinconenses</t>
  </si>
  <si>
    <t>70% de negocios inscritos en el programa</t>
  </si>
  <si>
    <t>70%</t>
  </si>
  <si>
    <t>Padrón de comerciantes inscritos</t>
  </si>
  <si>
    <t>2.6.6 Implementar campaña           de prevención       de embarazos       e infecciones de trasmisión sexual en adolescentes   y jóvenes de Rincón de Romos.</t>
  </si>
  <si>
    <t>Disminución de
infecciones de transmisión sexual. Disminución en el número de embarazos en jóvenes de Rincón de Romos</t>
  </si>
  <si>
    <t>Disminuir infecciones y embarazos en un 30 %</t>
  </si>
  <si>
    <t>Diversas evidencias</t>
  </si>
  <si>
    <t>2.6.7 Impulsar la feria educativa municipal</t>
  </si>
  <si>
    <t>Participación de
15 instituciones de nivel básica, medio superior y superior</t>
  </si>
  <si>
    <t>2 ferias educativas por año</t>
  </si>
  <si>
    <t>Listas de asistencias</t>
  </si>
  <si>
    <t>2.6.8 Promover la tradición y cultura en jóvenes de Rincón de Romos</t>
  </si>
  <si>
    <t>Contar con estudiantina Rinconense</t>
  </si>
  <si>
    <t>Convocatoria y fotografías</t>
  </si>
  <si>
    <t>Emplear herramientas tecnológicas para ofrecer servicios municipales más eficientes y accesibles a todos los rincones del municipio.</t>
  </si>
  <si>
    <t>2.7.1 Digitalizar los servicios básicos como pagos y solicitudes en línea.</t>
  </si>
  <si>
    <t>Número de servicios digitalizados.</t>
  </si>
  <si>
    <t>Digitalizar 10 servicios en 2 años.</t>
  </si>
  <si>
    <t>Encuestas de satisfacción y análisis de uso por los ciudadanos.</t>
  </si>
  <si>
    <t>2.7.2 Crear una plataforma de comunicación de una línea directa con el gobierno municipal.</t>
  </si>
  <si>
    <t>Número de usuarios activos en la
plataforma.</t>
  </si>
  <si>
    <t>Lanzar la plataforma y alcanzar 2,000 usuarios en 3 años.</t>
  </si>
  <si>
    <t>Evaluación semestral del nivel de interacción.</t>
  </si>
  <si>
    <t>2.7.3 Realizar capacitaciones en tecnologías básicas para adultos mayores.</t>
  </si>
  <si>
    <t>Número de adultos mayores capacitados.</t>
  </si>
  <si>
    <t>Capacitar a
200 personas
en 3 años.</t>
  </si>
  <si>
    <t>Encuestas de satisfacción y evaluación
del aprendizaje.</t>
  </si>
  <si>
    <t>2.7.4 Promover el uso de aplicaciones de denuncia ciudadana.</t>
  </si>
  <si>
    <t>Número de descargas y reportes realizados.</t>
  </si>
  <si>
    <t>Incrementar el uso en un
30% en 3 años.</t>
  </si>
  <si>
    <t>Análisis
anual del uso de las aplicaciones
y su efectividad.</t>
  </si>
  <si>
    <t>2.7.5 Visualizar a Rincón de Romos como una ciudad inteligente.</t>
  </si>
  <si>
    <t>Inversión en capacitación e infraestructura básica.</t>
  </si>
  <si>
    <t>Establecer los criterios para una ciudad inteligente.</t>
  </si>
  <si>
    <t>Documento base de la ciudad inteligente.</t>
  </si>
  <si>
    <t>Trámites administrativos Una
plataforma
Un visor</t>
  </si>
  <si>
    <t>Semestral</t>
  </si>
  <si>
    <r>
      <t>*</t>
    </r>
    <r>
      <rPr>
        <sz val="10"/>
        <color rgb="FF000000"/>
        <rFont val="Calibri"/>
        <family val="2"/>
      </rPr>
      <t xml:space="preserve"> Administración, Planeación y Desarrollo y Desarrollo Económico y Agropecuario.</t>
    </r>
  </si>
  <si>
    <t>Asegurar que las obras públicas se realicen de manera transparente y con la participación de la ciudadanía.</t>
  </si>
  <si>
    <t>2.8.1 Organizar foros ciudadanos para la planeación de obras públicas.</t>
  </si>
  <si>
    <t>Número de
foros realizados y asistentes.</t>
  </si>
  <si>
    <t>Realizar 6 foros en 2 años.</t>
  </si>
  <si>
    <t>Encuestas de participación y percepción de transparencia.</t>
  </si>
  <si>
    <t>2.8.2 Publicar un informe trimestral sobre el avance de las obras.</t>
  </si>
  <si>
    <t>Número de informes publicados.</t>
  </si>
  <si>
    <t>Publicar 12 informes en 3 años.</t>
  </si>
  <si>
    <t>Revisión de cumplimiento en tiempo y forma.</t>
  </si>
  <si>
    <t>2.8.3 Establecer comités ciudadanos de supervisión de
obras.</t>
  </si>
  <si>
    <t>Número de comités formados.</t>
  </si>
  <si>
    <t>Crear 10 comités en 3 años.</t>
  </si>
  <si>
    <t>Evaluación anual de las actividades de
los comités.</t>
  </si>
  <si>
    <t>2.8.4 Implementar encuestas de satisfacción sobre las obras realizadas.</t>
  </si>
  <si>
    <t>Número de encuestas aplicadas.</t>
  </si>
  <si>
    <t>Recopilar 500 respuestas
por año.</t>
  </si>
  <si>
    <t>Análisis de datos y propuestas de mejora basadas en
los resultados.</t>
  </si>
  <si>
    <t>2.8.5 Fomentar la participación de beneficiarios directos de Proyectos de Obra Pública para vigilar, detectar y reportar
quejas
oportunamente, seguimiento y ejecución del programa de obra pública en cada ejercicio fiscal.</t>
  </si>
  <si>
    <t>Comités</t>
  </si>
  <si>
    <t>Porcentaje de Comités de Participación Social integrados Volantes, Acta de Instalación de Comité y Evidencia Fotográfica</t>
  </si>
  <si>
    <t>2.8.6 Fomentar la participación activa de beneficiarios directos</t>
  </si>
  <si>
    <t>Integración, seguimiento y</t>
  </si>
  <si>
    <t>Porcentaje de Comités de Participación</t>
  </si>
  <si>
    <t>de Proyectos de Obra Pública para vigilar, detectar y reportar quejas oportunamente, seguimiento y ejecución del programa de obra pública en cada
ejercicio fiscal.</t>
  </si>
  <si>
    <t>evaluación de
120 comités</t>
  </si>
  <si>
    <t>Social integrados Volantes, Acta de Instalación de Comité y Evidencia Fotográfica</t>
  </si>
  <si>
    <t>2.8.7 Consultas ciudadanas para recibir propuestas por parte de los ciudadanos para la adecuación y
creación de espacios públicos con base a las necesidades</t>
  </si>
  <si>
    <t>Minutas de trabajo y cuestionarios</t>
  </si>
  <si>
    <t>Diseñar espacios óptimos y de calidad para la población del municipio</t>
  </si>
  <si>
    <t>2.8.8 Plataforma de seguimiento de obra publica</t>
  </si>
  <si>
    <t>Tipo de obra</t>
  </si>
  <si>
    <t>Numero de obras</t>
  </si>
  <si>
    <t>2.8.9 Realizar obras de acuerdo con las necesidades de los habitantes del municipio de acuerdo con el estado de la infraestructura actual del municipio</t>
  </si>
  <si>
    <t>Antecedentes de la infraestructura, denuncias de necesidades ciudadanas, de acuerdo con el desarrollo del municipio.</t>
  </si>
  <si>
    <t>Mayor número de obras en
zonas vulnerables y áreas no atendidas con anterioridad. La nueva infraestructura y beneficios
en servicios básicos y vías de tránsito
que permitan la buena vialidad dentro del municipio.</t>
  </si>
  <si>
    <t>Obras de calidad, tiempos de entrega de obras, desarrollo de infraestructura.</t>
  </si>
  <si>
    <t>Promover que los ciudadanos participen
de manera voluntaria y organizada en todas las etapas de los proyectos
municipales, desde la planeación hasta la evaluación.</t>
  </si>
  <si>
    <t>2.9.1 Realizar asambleas comunitarias para la planeación de proyectos.</t>
  </si>
  <si>
    <t>Número de asambleas realizadas y asistentes.</t>
  </si>
  <si>
    <t>Organizar 15 asambleas
en 3 años.</t>
  </si>
  <si>
    <t>Encuestas de percepción
de los asistentes.</t>
  </si>
  <si>
    <t>2.9.2 Crear un portal en línea para recibir propuestas ciudadanas.</t>
  </si>
  <si>
    <t>Número de propuestas recibidas y analizadas.</t>
  </si>
  <si>
    <t>Recibir 100 propuestas en 2 años.</t>
  </si>
  <si>
    <t>2.9.3 Capacitar a líderes comunitarios en gestión de proyectos.</t>
  </si>
  <si>
    <t>Número de líderes capacitados.</t>
  </si>
  <si>
    <t>Capacitar a
50 líderes en
3 años.</t>
  </si>
  <si>
    <t>Encuestas de satisfacción y evaluación
del impacto de sus proyectos.</t>
  </si>
  <si>
    <t>2.9.4 Promover la participación juvenil mediante eventos interactivos.</t>
  </si>
  <si>
    <t>Número de eventos organizados y asistentes.</t>
  </si>
  <si>
    <t>Evaluación del impacto en la
participación ciudadana juvenil.</t>
  </si>
  <si>
    <t>2.9.5 Fomentar la participación activa de los Integrantes del Consejo de Desarrollo Municipal, durante la planeación, seguimiento y ejecución del programa de obra pública en cada ejercicio fiscal.</t>
  </si>
  <si>
    <t>Asamblea</t>
  </si>
  <si>
    <t>12
Asambleas</t>
  </si>
  <si>
    <t>Porcentaje de Sesiones del Consejo de Desarrollo Municipal efectuadas Acuse de Invitación, Lista de
Asistencia,
Evidencia Fotográfica y Minuta</t>
  </si>
  <si>
    <t>2.9.6 Desarrollo de proyectos en conjunto de la dirección de Obras públicas y CODEMUN, así como las solicitudes ciudadanas.</t>
  </si>
  <si>
    <t>Viabilidad de obras que beneficien al municipio de acuerdo con el desarrollo y crecimiento.</t>
  </si>
  <si>
    <t>Cubrir las necesidades básicas de la obra pública dentro del municipio.</t>
  </si>
  <si>
    <t>Atención en cada uno de los lugares
del municipio.</t>
  </si>
  <si>
    <t>Gestionar ante las instancias necesarias la instalación de una universidad pública el municipio.</t>
  </si>
  <si>
    <t>3.1.1 Identificar terrenos o espacios adecuados para la instalación de la universidad.</t>
  </si>
  <si>
    <t>Número de terrenos identificados y evaluados.</t>
  </si>
  <si>
    <t>Identificar y evaluar al menos 3
opciones de terrenos viables en el primer año.</t>
  </si>
  <si>
    <t>Reporte técnico con la viabilidad de cada terreno.</t>
  </si>
  <si>
    <t>3.1.2 Generar acuerdos con instituciones educativas y de salud para respaldo del proyecto.</t>
  </si>
  <si>
    <t>Número de convenios o acuerdos firmados.</t>
  </si>
  <si>
    <t>Firmar 2 convenios con instituciones
aliadas antes del segundo año.</t>
  </si>
  <si>
    <t>Revisión de convenios firmados y validez jurídica.</t>
  </si>
  <si>
    <t>3.1.3 Realizar gestiones ante autoridades estatales
y federales para incluir el proyecto en su plan de desarrollo.</t>
  </si>
  <si>
    <t>Número de reuniones realizadas con las autoridades.</t>
  </si>
  <si>
    <t>Sostener 5 reuniones con
autoridades pertinentes en el primer año.</t>
  </si>
  <si>
    <t>Registro de minutas de reuniones y seguimiento de compromisos.</t>
  </si>
  <si>
    <t>3.1.4 Difundir el proyecto a través de redes sociales y reuniones comunitarias para obtener apoyo social.</t>
  </si>
  <si>
    <t>Número de publicaciones y asistentes a reuniones.</t>
  </si>
  <si>
    <t>Realizar 10 publicaciones y 5 reuniones informativas en tres años.</t>
  </si>
  <si>
    <t>Evaluar la percepción pública mediante encuestas en eventos.</t>
  </si>
  <si>
    <t>* Secretaria  Particular,  Planeación  y Desarrollo,  Obras  Públicas,  Dirección  de Administración,  Tesorería,
Cabildo, Desarrollo Económico y Agropecuario.</t>
  </si>
  <si>
    <t>Ofrecer a la sociedad servicios de salud integral.</t>
  </si>
  <si>
    <t>3.2.1 Organizar brigadas médicas gratuitas en zonas rurales.</t>
  </si>
  <si>
    <t>Número de brigadas realizadas y personas atendidas.</t>
  </si>
  <si>
    <t>Realizar 12 brigadas al año, atendiendo al menos a 100 personas en cada una.</t>
  </si>
  <si>
    <t>Reporte anual de atención y satisfacción del público.</t>
  </si>
  <si>
    <t>3.2.2 Implementar talleres sobre prevención de enfermedades comunes.</t>
  </si>
  <si>
    <t>Impartir 15 talleres al año, con una participación promedio de
30 personas.</t>
  </si>
  <si>
    <t>Encuestas de retroalimentación post-taller.</t>
  </si>
  <si>
    <t>Porcentaje de población vacunada.</t>
  </si>
  <si>
    <t>Datos de cobertura del sector salud.</t>
  </si>
  <si>
    <t>3.2.4 Crear una línea de atención
telefónica para consultas médicas básicas.</t>
  </si>
  <si>
    <t>Número de llamadas atendidas.</t>
  </si>
  <si>
    <t>Atender 500 consultas en los primeros dos años.</t>
  </si>
  <si>
    <t>Estadísticas de llamadas y resolución de casos.</t>
  </si>
  <si>
    <t>3.2.5 Fomentar alianzas con universidades para
que estudiantes de
medicina y enfermería realicen servicio social en las brigadas.</t>
  </si>
  <si>
    <t>Número de estudiantes involucrados.</t>
  </si>
  <si>
    <t>Integrar a 50 estudiantes en los primeros dos años.</t>
  </si>
  <si>
    <t>Evaluación de desempeño y testimonios de participantes.</t>
  </si>
  <si>
    <t>3.2.6 Establecer un programa de atención psicológica gratuita o de bajo costo.</t>
  </si>
  <si>
    <t>Número de consultas psicológicas brindadas.</t>
  </si>
  <si>
    <t>Atender a 200 personas en
el primer año.</t>
  </si>
  <si>
    <t>Registro de pacientes y evaluación de impacto en su bienestar.</t>
  </si>
  <si>
    <t>3.2.7 Implementar unidades móviles de salud para atención en comunidades alejadas.</t>
  </si>
  <si>
    <t>Número de comunidades atendidas.</t>
  </si>
  <si>
    <t>Brindar servicio en al menos 20 comunidades
en los
primeros tres años.</t>
  </si>
  <si>
    <t>Informe de cobertura y satisfacción de los beneficiarios.</t>
  </si>
  <si>
    <t>3.2.8 Desarrollar un programa de detección temprana de enfermedades crónicas (diabetes, hipertensión, cáncer, etc.).</t>
  </si>
  <si>
    <t>Número de diagnósticos preventivos realizados.</t>
  </si>
  <si>
    <t>Realizar 1.000 pruebas de detección en los primeros tres años.</t>
  </si>
  <si>
    <t>Base de datos de diagnósticos y referencia de pacientes a especialistas.</t>
  </si>
  <si>
    <t>3.2.9 Crear un banco de medicamentos
con donaciones y apoyo de farmacias
locales.</t>
  </si>
  <si>
    <t>Número de medicamentos distribuidos.</t>
  </si>
  <si>
    <t>Atender a 500 personas con medicamentos
gratuitos en el
primer año.</t>
  </si>
  <si>
    <t>Registro de beneficiarios y tipo de
medicamentos
entregados.</t>
  </si>
  <si>
    <t>3.2.10 Coordinación con direcciones para giras de salud.</t>
  </si>
  <si>
    <t>Campañas de salud en comunidades del municipio</t>
  </si>
  <si>
    <t>30</t>
  </si>
  <si>
    <t>Evidencia fotográfica y listado de atención.</t>
  </si>
  <si>
    <t>3.3.1 Impartir talleres sobre salud sexual y reproductiva.</t>
  </si>
  <si>
    <t>Número de talleres y participantes.</t>
  </si>
  <si>
    <t>Realizar 15 talleres al año con al menos
20 asistentes cada uno.</t>
  </si>
  <si>
    <t>Encuestas de satisfacción y aprendizaje al finalizar los talleres.</t>
  </si>
  <si>
    <t>3.3.2 Crear círculos de apoyo</t>
  </si>
  <si>
    <t>Número de círculos</t>
  </si>
  <si>
    <t>Establecer 5 círculos en tres</t>
  </si>
  <si>
    <t>Evaluación psicológica</t>
  </si>
  <si>
    <t>psicológico para mujeres.</t>
  </si>
  <si>
    <t>formados y asistentes.</t>
  </si>
  <si>
    <t>años, con al menos 10 participantes por grupo.</t>
  </si>
  <si>
    <t>inicial y al cierre del programa.</t>
  </si>
  <si>
    <t>3.3.3 Promover campañas para la detección oportuna de enfermedades como cáncer de mama.</t>
  </si>
  <si>
    <t>Número de personas sensibilizadas y exploraciones realizadas.</t>
  </si>
  <si>
    <t>Alcanzar a
5,000 personas en tres años con las campañas.</t>
  </si>
  <si>
    <t>Reportes del alcance y evaluaciones médicas.</t>
  </si>
  <si>
    <t>3.3.4 Desarrollar material informativo digital sobre derechos y salud integral.</t>
  </si>
  <si>
    <t>Número de materiales creados y distribuidos.</t>
  </si>
  <si>
    <t>Producir 10
materiales y alcanzar
20,000 visualizaciones en tres años.</t>
  </si>
  <si>
    <t>Análisis de métricas de distribución y visualización.</t>
  </si>
  <si>
    <t>3.3.5 Implementar un programa de capacitación en habilidades económicas y emprendimiento para mujeres.</t>
  </si>
  <si>
    <t>Número de mujeres capacitadas.</t>
  </si>
  <si>
    <t>Capacitar a
300 mujeres en tres años.</t>
  </si>
  <si>
    <t>Evaluación de impacto y seguimiento de emprendimientos iniciados.</t>
  </si>
  <si>
    <t>3.3.6Establecer una red de espacios seguros y asesoría legal para mujeres en situación de violencia.</t>
  </si>
  <si>
    <t>Número de espacios seguros creados y mujeres atendidas.</t>
  </si>
  <si>
    <t>Implementar 3 espacios seguros y
brindar asesoría a 500 mujeres en tres años.</t>
  </si>
  <si>
    <t>Reporte de atención y casos atendidos.</t>
  </si>
  <si>
    <t>3.3.7 Fomentar alianzas con instituciones de salud para garantizar acceso gratuito a métodos
anticonceptivos y
planificación familiar.</t>
  </si>
  <si>
    <t>Número de mujeres beneficiadas.</t>
  </si>
  <si>
    <t>Atender a
1,000 mujeres en tres años con métodos de planificación.</t>
  </si>
  <si>
    <t>Registro de beneficiarias y evaluación de acceso a los servicios.</t>
  </si>
  <si>
    <t>3.3.8 Promoción de los Derechos Ciudadanos y no Discriminación</t>
  </si>
  <si>
    <t>Capacitación en escuelas y servicio público para atención ciudadana.</t>
  </si>
  <si>
    <t>Concientización de la
ciudadanía para mejorar la calidad de vida.</t>
  </si>
  <si>
    <t>Listas de asistencia, evidencia fotográfica.</t>
  </si>
  <si>
    <t>3.3.9 Desarrollo de Capacidades y Habilidades para el Trabajo</t>
  </si>
  <si>
    <t>Capacitación de sectores vulnerables para la creación de oportunidades
de autoempleo.</t>
  </si>
  <si>
    <t>Autoempleo a sector vulnerable.</t>
  </si>
  <si>
    <t>Padrón de personas capacitadas, evidencia fotográfica</t>
  </si>
  <si>
    <t>Implementar programas de
asistencia social para garantizar el
bienestar de los grupos más vulnerables.</t>
  </si>
  <si>
    <t>3.4.1 Implementar un programa de distribución de alimentos en comunidades vulnerables.</t>
  </si>
  <si>
    <t>Número de familias beneficiadas y alimentos entregados.</t>
  </si>
  <si>
    <t>Atender a
200 familias por mes durante tres años.</t>
  </si>
  <si>
    <t>Registros mensuales de entrega y encuestas de impacto.</t>
  </si>
  <si>
    <t>3.4.2 Crear un banco de ropa y artículos básicos mediante donaciones.</t>
  </si>
  <si>
    <t>Cantidad de artículos recolectados y distribuidos.</t>
  </si>
  <si>
    <t>Distribuir
10,000 artículos en tres años.</t>
  </si>
  <si>
    <t>Auditorías de inventarios y distribución.</t>
  </si>
  <si>
    <t>3.4.3 Desarrollar un programa de apoyo para inserción laboral.</t>
  </si>
  <si>
    <t>Número de personas capacitadas y empleadas.</t>
  </si>
  <si>
    <t>Capacitar a
300
personas y lograr empleo para
al menos 100 en tres años.</t>
  </si>
  <si>
    <t>Seguimiento a los beneficiarios
y su situación laboral.</t>
  </si>
  <si>
    <t>3.4.4 Organizar actividades recreativas y educativas para
niños en riesgo.</t>
  </si>
  <si>
    <t>Número de actividades realizadas y asistentes.</t>
  </si>
  <si>
    <t>Llevar a cabo
20 actividades anuales, beneficiando a 500 niños.</t>
  </si>
  <si>
    <t>Encuestas de satisfacción y reportes de participación.</t>
  </si>
  <si>
    <t>3.4.5 Implementar un programa de atención médica gratuita en comunidades marginadas.</t>
  </si>
  <si>
    <t>Número de consultas realizadas y personas atendidas.</t>
  </si>
  <si>
    <t>Registros de consultas médicas y
satisfacción de los beneficiarios.</t>
  </si>
  <si>
    <t>3.4.6 Crear un fondo de apoyo para emergencias destinado a personas en situación de vulnerabilidad.</t>
  </si>
  <si>
    <t>Número de familias beneficiadas.</t>
  </si>
  <si>
    <t>Otorgar ayuda a 500 familias en casos de crisis en tres años.</t>
  </si>
  <si>
    <t>Reportes de entrega y seguimiento de casos beneficiados.</t>
  </si>
  <si>
    <t>3.4.7 Establecer un programa de acompañamiento y
asesoría legal para
personas en situación de vulnerabilidad.</t>
  </si>
  <si>
    <t>Número de asesorías brindadas y personas atendidas.</t>
  </si>
  <si>
    <t>Brindar asesoría a
1,000
personas en tres años.</t>
  </si>
  <si>
    <t>Registro de asesorías y seguimiento de casos apoyados.</t>
  </si>
  <si>
    <t>3.5.1 Crear y mantener centros de atención psicológica para niñas, niños y adolescentes.</t>
  </si>
  <si>
    <t>Número de sesiones realizadas y beneficiarios atendidos.</t>
  </si>
  <si>
    <t>3.5.2 Implementar actividades recreativas y educativas durante los fines de semana.</t>
  </si>
  <si>
    <t>Número de actividades realizadas y asistencia.</t>
  </si>
  <si>
    <t>Realizar 20 actividades al año con la participación de al menos 200 niños por actividad.</t>
  </si>
  <si>
    <t>Encuestas de satisfacción y seguimiento
a la asistencia.</t>
  </si>
  <si>
    <t>3.5.3 Establecer alianzas con instituciones
educativas para el desarrollo integral.</t>
  </si>
  <si>
    <t>Número de instituciones aliadas y
programas conjuntos.</t>
  </si>
  <si>
    <t>Lograr al menos 3 alianzas en los
primeros dos años.</t>
  </si>
  <si>
    <t>Evaluación anual del impacto de las alianzas.</t>
  </si>
  <si>
    <t>3.5.4 Promover la inclusión de actividades culturales y deportivas en el desarrollo infantil.</t>
  </si>
  <si>
    <t>Número de actividades culturales y deportivas realizadas.</t>
  </si>
  <si>
    <t>Realizar 10 actividades anuales, beneficiando a
500 niños.</t>
  </si>
  <si>
    <t>Evaluación cualitativa del impacto
social y educativo de las actividades.</t>
  </si>
  <si>
    <t>3.5.5 Implementar un programa de prevención del abuso infantil mediante talleres y materiales educativos.</t>
  </si>
  <si>
    <t>Realizar 15 talleres anuales,
alcanzando a
500 niñas, niños y adolescentes.</t>
  </si>
  <si>
    <t>Encuestas de aprendizaje y seguimiento
a participantes.</t>
  </si>
  <si>
    <t>3.5.6 Crear un programa de apoyo escolar con tutorías para niñas, niños y adolescentes en situación de rezago educativo.</t>
  </si>
  <si>
    <t>Número de tutorías impartidas y estudiantes beneficiados.</t>
  </si>
  <si>
    <t>Atender a 300 estudiantes en tres años con sesiones personalizadas.</t>
  </si>
  <si>
    <t>Registro de avances académicos y encuestas de satisfacción.</t>
  </si>
  <si>
    <t>3.5.7 Programa Estímulos a la Educación Básica</t>
  </si>
  <si>
    <t>Becas</t>
  </si>
  <si>
    <t>1500</t>
  </si>
  <si>
    <t>Porcentaje de apoyos educativos
otorgados contra estudiantes sujetos de apoyos Expedientes Físicos, Recibos de pago y Evidencia Fotográfica</t>
  </si>
  <si>
    <t>3.5.8 Programa Apoyo al Transporte Escolar Nivel Medio Superior y Superior</t>
  </si>
  <si>
    <t>Beca</t>
  </si>
  <si>
    <t>500 becas</t>
  </si>
  <si>
    <t>Promover actividades deportivas y recreativas para niños, jóvenes y toda la población, con el objetivo de mejorar la
salud y fortalecer el tejido social del municipio</t>
  </si>
  <si>
    <t>3.6.1 Organizar eventos deportivos para toda la población, con énfasis en la
salud.</t>
  </si>
  <si>
    <t>Número de eventos organizados y participación.</t>
  </si>
  <si>
    <t>Organizar 5 eventos anuales con la
participación
de al menos
1,000 personas.</t>
  </si>
  <si>
    <t>Evaluación de satisfacción y reporte de participación.</t>
  </si>
  <si>
    <t>3.6.2 Promover programas de ejercicio en comunidades, incluyendo caminatas
y carreras.</t>
  </si>
  <si>
    <t>Número de programas implementados y personas participantes.</t>
  </si>
  <si>
    <t>Reporte de asistencia y análisis de impacto en salud comunitaria.</t>
  </si>
  <si>
    <t>3.6.3 Desarrollar campañas informativas sobre los beneficios del deporte para la salud.</t>
  </si>
  <si>
    <t>Número de campañas realizadas y material distribuido.</t>
  </si>
  <si>
    <t>Evaluación de la efectividad
mediante
encuestas de conciencia y conocimiento.</t>
  </si>
  <si>
    <t>3.6.4 Establecer alianzas con clínicas y profesionales para ofrecer asesoría deportiva gratuita.</t>
  </si>
  <si>
    <t>Número de alianzas establecidas y consultas realizadas.</t>
  </si>
  <si>
    <t>Establecer al menos 3 alianzas y ofrecer 500 consultas anuales.</t>
  </si>
  <si>
    <t>Reporte de servicios ofrecidos y testimonios de los beneficiarios.</t>
  </si>
  <si>
    <t>3.6.5 Implementar psicología en la instancia de la juventud</t>
  </si>
  <si>
    <t>100 atenciones psicológicas</t>
  </si>
  <si>
    <t>Número de consultas</t>
  </si>
  <si>
    <t>3.6.6 Inclusión de la comunidad LGBTIQ+</t>
  </si>
  <si>
    <t>Cumplir con el
100% de las reuniones trimestrales</t>
  </si>
  <si>
    <t>4 espacios de diálogos</t>
  </si>
  <si>
    <t>Listas de asistencia</t>
  </si>
  <si>
    <t>3.7.1 Remodelar y mejorar los espacios deportivos existentes en el municipio.</t>
  </si>
  <si>
    <t>Número de espacios remodelados.</t>
  </si>
  <si>
    <t>Mejorar al menos 5 espacios deportivos en tres años.</t>
  </si>
  <si>
    <t>Inspecciones de calidad de espacios remodelados.</t>
  </si>
  <si>
    <t>3.7.2 Crear nuevos espacios
deportivos accesibles para la población.</t>
  </si>
  <si>
    <t>Número de nuevos espacios creados.</t>
  </si>
  <si>
    <t>Construir 2 nuevos espacios deportivos en tres años.</t>
  </si>
  <si>
    <t>Evaluación de la accesibilidad y uso de los nuevos
espacios.</t>
  </si>
  <si>
    <t>3.7.3 Implementar programas de mantenimiento preventivo en los espacios deportivos.</t>
  </si>
  <si>
    <t>Número de mantenimientos realizados.</t>
  </si>
  <si>
    <t>Realizar mantenimiento trimestral en todos los espacios deportivos.</t>
  </si>
  <si>
    <t>Reportes de mantenimiento y feedback de usuarios.</t>
  </si>
  <si>
    <t>3.7.4 Promover el uso de los espacios recreativos mediante actividades programadas.</t>
  </si>
  <si>
    <t>Número de actividades programadas y participantes.</t>
  </si>
  <si>
    <t>Realizar 50 actividades anuales en
espacios recreativos con 500 participantes.</t>
  </si>
  <si>
    <t>Encuestas de satisfacción y análisis de participación.</t>
  </si>
  <si>
    <t>3.7.5 Fomentar ligas y torneos comunitarios para impulsar la práctica deportiva.</t>
  </si>
  <si>
    <t>Número de torneos organizados y participantes.</t>
  </si>
  <si>
    <t>Organizar 10 torneos al año con al menos
100 participantes por evento.</t>
  </si>
  <si>
    <t>Reportes de asistencia y retroalimentación de participantes.</t>
  </si>
  <si>
    <t>3.7.6 Implementar un programa de préstamo de
material deportivo en espacios recreativos.</t>
  </si>
  <si>
    <t>Número de préstamos realizados y beneficiarios.</t>
  </si>
  <si>
    <t>Facilitar material deportivo a
1,000 personas en un año.</t>
  </si>
  <si>
    <t>Registro de préstamos y encuestas de satisfacción</t>
  </si>
  <si>
    <t>3.7.7 Escuelas de iniciación</t>
  </si>
  <si>
    <t>Promoción y difusión además de la identidad de las mismas “CAXCANES” como nombre de nuestras
escuelas.</t>
  </si>
  <si>
    <t>Matriculas al tope de capacidad</t>
  </si>
  <si>
    <t>Comparativo
2024 – 2025</t>
  </si>
  <si>
    <t>3.7.8 Profesores capacitados</t>
  </si>
  <si>
    <t>Certificación y capacitación es sus ramas</t>
  </si>
  <si>
    <t>Cada uno de ellos se encuentren
certificados al finalizar el año</t>
  </si>
  <si>
    <t>Numero de maestros Capacitados</t>
  </si>
  <si>
    <t>Medida de crecimiento del alcance en redes</t>
  </si>
  <si>
    <t>3.7.10 Poder llevar las escuelas de iniciación a las distintas comunidades</t>
  </si>
  <si>
    <t>Finalizar el año con la difusión
de las disciplinas ofertadas en el municipio</t>
  </si>
  <si>
    <r>
      <t>*</t>
    </r>
    <r>
      <rPr>
        <sz val="10"/>
        <color rgb="FF000000"/>
        <rFont val="Calibri"/>
        <family val="2"/>
      </rPr>
      <t xml:space="preserve"> Fomento deportivo y acción cívica.</t>
    </r>
  </si>
  <si>
    <t>Promover entre los Rinconenses el deporte de alto rendimiento como estrategia integral de la sociedad.</t>
  </si>
  <si>
    <t>3.8.1 Identificar y
apoyar a atletas locales con potencial de alto rendimiento.</t>
  </si>
  <si>
    <t>Número de atletas identificados y apoyados.</t>
  </si>
  <si>
    <t>Apoyar a al menos 10 atletas en tres años.</t>
  </si>
  <si>
    <t>Seguimiento del progreso de los atletas y logros obtenidos.</t>
  </si>
  <si>
    <t>3.8.2 Crear programas de formación deportiva de alto rendimiento para jóvenes.</t>
  </si>
  <si>
    <t>Número de programas implementados y participantes.</t>
  </si>
  <si>
    <t>Implementar
2 programas anuales con
30 jóvenes cada uno.</t>
  </si>
  <si>
    <t>Evaluación
de progreso y rendimiento de los
jóvenes deportistas.</t>
  </si>
  <si>
    <t>3.8.3 Organizar competiciones locales para descubrir talentos y fomentar el deporte.</t>
  </si>
  <si>
    <t>Número de competencias realizadas y atletas participantes.</t>
  </si>
  <si>
    <t>Organizar 3 competencias anuales con
participación de al menos
100 atletas.</t>
  </si>
  <si>
    <t>Reportes de evaluación del
desempeño y talento detectado.</t>
  </si>
  <si>
    <t>3.8.4 Establecer alianzas con instituciones deportivas para obtener recursos y apoyo.</t>
  </si>
  <si>
    <t>Número de alianzas formadas y recursos obtenidos.</t>
  </si>
  <si>
    <t>Establecer 5 alianzas en tres años para apoyar al deporte de alto rendimiento.</t>
  </si>
  <si>
    <t>Informe de recursos obtenidos y su distribución entre los atletas.</t>
  </si>
  <si>
    <t>3.8.5 Limpieza de las áreas deportivas.</t>
  </si>
  <si>
    <t>Personal de la dirección</t>
  </si>
  <si>
    <t>Espacio limpio</t>
  </si>
  <si>
    <t>Inspecciones visuales diarias</t>
  </si>
  <si>
    <t>3.8.6 Saneamiento de las áreas deportivas.</t>
  </si>
  <si>
    <t>Espacio visualmente aceptable</t>
  </si>
  <si>
    <t>Evaluar la apariencia general de los espacios</t>
  </si>
  <si>
    <t>3.8.7 Mantenimiento de las áreas deportivas.</t>
  </si>
  <si>
    <t>Empresa privada</t>
  </si>
  <si>
    <t>Reparación de algunas estructuras</t>
  </si>
  <si>
    <t>Garantizar los espacios deportivos en todo el
municipio, sin favorecer a un solo deporte.</t>
  </si>
  <si>
    <t>3.9.1 Construir y mantener espacios deportivos gratuitos y accesibles.</t>
  </si>
  <si>
    <t>Número de espacios gratuitos construidos y mantenidos.</t>
  </si>
  <si>
    <t>Construir 3 nuevos espacios deportivos gratuitos en tres años.</t>
  </si>
  <si>
    <t>Inspecciones de calidad y accesibilidad de los espacios.</t>
  </si>
  <si>
    <t>3.9.2 Organizar eventos deportivos para todas las edades y habilidades.</t>
  </si>
  <si>
    <t>Número de eventos organizados y asistencia.</t>
  </si>
  <si>
    <t>Organizar 10 eventos anuales con
la
participación de 2,000 personas.</t>
  </si>
  <si>
    <t>Evaluación de la diversidad de participantes
y su satisfacción.</t>
  </si>
  <si>
    <t>3.9.3 Promover la participación de personas con discapacidad en actividades deportivas.</t>
  </si>
  <si>
    <t>Número de actividades inclusivas organizadas.</t>
  </si>
  <si>
    <t>Realizar 5 actividades inclusivas anuales con la participación de al menos
50 personas con
discapacidad.</t>
  </si>
  <si>
    <t>Encuestas de satisfacción y análisis de accesibilidad.</t>
  </si>
  <si>
    <t>3.9.4 Crear programas deportivos adaptados para adultos mayores y personas con movilidad reducida.</t>
  </si>
  <si>
    <t>Número de programas implementados y participación.</t>
  </si>
  <si>
    <t>Implementar
3 programas anuales con
100 participantes en total.</t>
  </si>
  <si>
    <t>Evaluación de satisfacción y beneficios físicos para los participantes.</t>
  </si>
  <si>
    <t>3.9.5 Escuelas Deportivas generadoras de talentos</t>
  </si>
  <si>
    <t>Entrar a los procesos selectivos oficiales</t>
  </si>
  <si>
    <t>Clasificar a atletas a selecciones Estatales</t>
  </si>
  <si>
    <t>Cantidad de atletas clasificados etapas
estatales.
Regionales y nacionales</t>
  </si>
  <si>
    <t>3.9.6 Apoyo de talentos deportivos</t>
  </si>
  <si>
    <t>Traslados y necesidades de los atletas</t>
  </si>
  <si>
    <t>Que los atletas sean beneficiados en lo necesario he indispensable</t>
  </si>
  <si>
    <t>Cuantos atletas se beneficiarán de este apoyo</t>
  </si>
  <si>
    <t>3.9.7 Becas Deportivas</t>
  </si>
  <si>
    <t>3.9.8 A través de las Asociaciones Deportivas tener una base de datos de atletas Rinconenses</t>
  </si>
  <si>
    <t>Visualizar y darles la atención y el
seguimiento a los atletas rumbo a nacionales CONADE.</t>
  </si>
  <si>
    <t>Incrementar el número de atletas en selecciones estatales.</t>
  </si>
  <si>
    <t>Conocer y llevar el seguimiento de los atletas de alto rendimiento.</t>
  </si>
  <si>
    <t>Garantizar los espacios deportivos en todo el municipio, sin
favorecer a un solo
deporte.</t>
  </si>
  <si>
    <t>3.10.1 Ligas
Deportivas</t>
  </si>
  <si>
    <t>Creación de ligas Municipales (no privadas)</t>
  </si>
  <si>
    <t>Tener ligas de los deportes más
populares</t>
  </si>
  <si>
    <t>Numero de
Ligas creadas</t>
  </si>
  <si>
    <t>3.10.2 Que los espacios deportivos sean funcionales para distintos deportes</t>
  </si>
  <si>
    <t>inclusión de deportes como Crossfit
Volibol
Patines, etc. en los espacios con los que ya se cuentan</t>
  </si>
  <si>
    <t>Eventos programados</t>
  </si>
  <si>
    <t>Numero de eventos realizados</t>
  </si>
  <si>
    <t>3.10.3 Practica de distintas disciplinas en las escuelas
deportivas</t>
  </si>
  <si>
    <t>Inclusión de: Porras Zumba
Judo
Lucha
Lucha de brazos</t>
  </si>
  <si>
    <t>Incluir en las disciplinas las propuestas
para una
mayor oferta a la comunidad</t>
  </si>
  <si>
    <t>Numero de Escuelas integradas</t>
  </si>
  <si>
    <t>3.10.4 Promover a nuestro municipio para la realización de eventos deportivos de distintas disciplinas a nivel Estatal, regional
y Nacional</t>
  </si>
  <si>
    <t>Ofertar las instalaciones de nuestro municipio para eventos regionales y nacionales</t>
  </si>
  <si>
    <t>Dos eventos estatales Llevar a cabo dos eventos regionales Llevar acabo un evento nacional</t>
  </si>
  <si>
    <t>Cantidad de eventos realizados</t>
  </si>
  <si>
    <t>Capacitar a los policías para que protejan a los ciudadanos y sean reconocidos por su buen trabajo.</t>
  </si>
  <si>
    <t>Porcentaje de policías capacitados anualmente.</t>
  </si>
  <si>
    <t>Capacitar al
100% de los policías en los primeros
2 años.</t>
  </si>
  <si>
    <t>Evaluación de conocimientos a través de exámenes y encuestas de satisfacción.</t>
  </si>
  <si>
    <t>1.1.2 Aumentar el número de cámaras de vigilancia en zonas estratégicas del municipio.</t>
  </si>
  <si>
    <t>Número de cámaras instaladas y en funcionamiento.</t>
  </si>
  <si>
    <t>Instalar 50 cámaras adicionales en el primer año.</t>
  </si>
  <si>
    <t>Monitoreo constante de las cámaras y análisis de los datos obtenidos.</t>
  </si>
  <si>
    <t>Número de encuentros comunitarios realizados y participación ciudadana.</t>
  </si>
  <si>
    <t>Realizar al menos 2 encuentros comunitarios por colonia
al mes.</t>
  </si>
  <si>
    <t>Encuestas de percepción ciudadana sobre la seguridad y la relación con la policía.</t>
  </si>
  <si>
    <t>1.1.4 Implementar un sistema de alerta temprana para prevenir y responder a situaciones de emergencia.</t>
  </si>
  <si>
    <t>Tiempo de respuesta ante una emergencia.</t>
  </si>
  <si>
    <t>Reducir el tiempo de respuesta en un 20% en el primer año.</t>
  </si>
  <si>
    <t>Análisis de los tiempos de respuesta a las llamadas de emergencia y retroalimentación de los ciudadanos.</t>
  </si>
  <si>
    <t>Número de unidades obsoletas retiradas</t>
  </si>
  <si>
    <t>Retirar el
40% de los vehículos inoperantes en 3 años.</t>
  </si>
  <si>
    <t>Evaluar la mejora en tiempos de respuesta y costos de mantenimiento.</t>
  </si>
  <si>
    <t>1.1.6 Reasignar vehículos en mejores condiciones a funciones menos exigentes.</t>
  </si>
  <si>
    <t>Implementar nuevas tecnologías para prevenir la violencia y el crimen antes de que ocurran.</t>
  </si>
  <si>
    <t>1.2.1 Crear un sistema de reporte anónimo digital para delitos potenciales.</t>
  </si>
  <si>
    <t>Número de reportes recibidos y analizados.</t>
  </si>
  <si>
    <t>Encuestas de satisfacción
con la facilidad del sistema.</t>
  </si>
  <si>
    <t>1.2.2 Realizar campañas de sensibilización digital en redes sociales sobre el uso de la plataforma.</t>
  </si>
  <si>
    <t>Alcance de publicaciones y cantidad de interacciones.</t>
  </si>
  <si>
    <t>Análisis de métricas en redes sociales al cierre de cada año.</t>
  </si>
  <si>
    <t>1.2.3. Capacitar a líderes comunitarios en el uso de tecnología para la prevención del crimen.</t>
  </si>
  <si>
    <t>Número de capacitaciones realizadas y personas capacitadas.</t>
  </si>
  <si>
    <t>Capacitar al menos a 30 líderes comunitarios en 3 años.</t>
  </si>
  <si>
    <t>Evaluaciones pre y post capacitación para medir conocimientos adquiridos.</t>
  </si>
  <si>
    <t>Número de usuarios registrados y alertas emitidas.</t>
  </si>
  <si>
    <t>Tener 500 usuarios registrados en 3 años.</t>
  </si>
  <si>
    <t>Encuestas de usuarios para evaluar la utilidad del
sistema.</t>
  </si>
  <si>
    <t>1.2.5 Implementar grupos de vigilancia vecinal con comunicación vía mensajería instantánea.</t>
  </si>
  <si>
    <t>Número de grupos vecinales creados y activos.</t>
  </si>
  <si>
    <t>Crear 10 grupos de vigilancia vecinal activos en un plazo de 18 meses.</t>
  </si>
  <si>
    <t>Evaluación trimestral del nivel de interacción en los grupos y reducción de reportes de incidentes en las zonas participantes.</t>
  </si>
  <si>
    <t>Cantidad de cámaras instaladas y operativas.</t>
  </si>
  <si>
    <t>Instalar 15 cámaras comunitarias
en los puntos de mayor riesgo en un plazo de 24 meses.</t>
  </si>
  <si>
    <t>Revisión semestral de funcionamiento de las cámaras y análisis de incidentes registrados.</t>
  </si>
  <si>
    <t>Número de formularios recibidos y analizados por mes.</t>
  </si>
  <si>
    <t>Diseñar y distribuir una base de datos activa en toda la comunidad
en un plazo
de 6 meses.</t>
  </si>
  <si>
    <t>1.2.8 Prevención de adicciones.</t>
  </si>
  <si>
    <t>Sesión informativa</t>
  </si>
  <si>
    <t>Al menos una sesión anual</t>
  </si>
  <si>
    <t>Número de asistentes a eventos</t>
  </si>
  <si>
    <t>Cantidad de jóvenes atendidos</t>
  </si>
  <si>
    <t>500 en el periodo de tres años</t>
  </si>
  <si>
    <t>Número de sesiones brindadas</t>
  </si>
  <si>
    <t>Porcentaje de equipo actualizado</t>
  </si>
  <si>
    <t>70% de equipo reemplazado al final del periodo</t>
  </si>
  <si>
    <t>Cantidad de equipos reemplazados o actualizados</t>
  </si>
  <si>
    <t>Promover la capacitación continua de los policías para mejorar su desempeño y dejar un legado en su carrera.</t>
  </si>
  <si>
    <t>1.3.1 Organizar talleres trimestrales sobre derechos humanos y atención ciudadana.</t>
  </si>
  <si>
    <t>Número de talleres realizados y policías capacitados.</t>
  </si>
  <si>
    <t>Capacitar al
100% de los policías municipales en 3 años.</t>
  </si>
  <si>
    <t>Encuestas de satisfacción y evaluaciones post-taller.</t>
  </si>
  <si>
    <t>1.3.2 Implementar un programa de
mentorías con policías experimentados.</t>
  </si>
  <si>
    <t>Número de mentorías realizadas.</t>
  </si>
  <si>
    <t>Establecer al menos 20 mentorías en
3 años.</t>
  </si>
  <si>
    <t>Reportes de desempeño de los policías
mentoreados.</t>
  </si>
  <si>
    <t>1.3.3 Crear un repositorio virtual con recursos educativos.</t>
  </si>
  <si>
    <t>Frecuencia de uso del repositorio.</t>
  </si>
  <si>
    <t>Registrar al menos 50 accesos
trimestrales
al repositorio.</t>
  </si>
  <si>
    <t>Análisis de métricas del sistema cada semestre.</t>
  </si>
  <si>
    <t>1.3.4 Realizar simulacros prácticos de actuación en situaciones críticas.</t>
  </si>
  <si>
    <t>Número de simulacros realizados.</t>
  </si>
  <si>
    <t>1.3.5 Incorporación de nuevos cadetes a la Secretaría de Seguridad Pública
Municipal.</t>
  </si>
  <si>
    <t>Cantidad de nuevos elementos</t>
  </si>
  <si>
    <t>100 elementos en
18 meses</t>
  </si>
  <si>
    <t>Cantidad de elementos de nuevo
ingreso capacitados</t>
  </si>
  <si>
    <t>1.3.6 Convocatoria de promoción de ascensos a personal operativo.</t>
  </si>
  <si>
    <t>Número de convocatorias</t>
  </si>
  <si>
    <t>Una convocatoria anual</t>
  </si>
  <si>
    <t>Cantidad de aplicaciones</t>
  </si>
  <si>
    <t>Establecer las reglas para que el municipio esté preparado ante emergencias y desastres naturales</t>
  </si>
  <si>
    <t>1.4.1 Crear un manual básico de emergencias específico para el municipio.</t>
  </si>
  <si>
    <t>Distribución del manual entre la población.</t>
  </si>
  <si>
    <t>Entregar al menos 2,000 copias
físicas o digitales en
3 años.</t>
  </si>
  <si>
    <t>Encuestas para medir conocimiento del manual.</t>
  </si>
  <si>
    <t>1.4.2 Organizar simulacros comunitarios de evacuación y rescate.</t>
  </si>
  <si>
    <t>Realizar 10 simulacros en colonias prioritarias en 3 años.</t>
  </si>
  <si>
    <t>Informes post- simulacro con recomendaciones.</t>
  </si>
  <si>
    <t>1.4.3 Establecer una red de voluntarios para emergencias.</t>
  </si>
  <si>
    <t>Número de voluntarios registrados.</t>
  </si>
  <si>
    <t>Formar una red de 50 voluntarios en 3 años.</t>
  </si>
  <si>
    <t>Asistencia y participación en capacitaciones periódicas.</t>
  </si>
  <si>
    <t>1.4.4 Impulsar capacitaciones para primeros auxilios en escuelas.</t>
  </si>
  <si>
    <t>Número de capacitaciones realizadas.</t>
  </si>
  <si>
    <t>Capacitar a estudiantes
y profesores de 5
escuelas locales en 3 años.</t>
  </si>
  <si>
    <t>Evaluaciones
post-capacitación.</t>
  </si>
  <si>
    <t>1.4.5 Tiempo de respuesta a emergencias</t>
  </si>
  <si>
    <t>Tiempo de respuesta en minutos</t>
  </si>
  <si>
    <t>Respuesta entre 10 y
12 minutos</t>
  </si>
  <si>
    <t>Medición de tiempo en situaciones de emergencia</t>
  </si>
  <si>
    <t>Trabajar para que se respete el Estado de Derecho y se protejan los derechos de todos.</t>
  </si>
  <si>
    <t>1.5.1 Crear
módulos itinerantes de justicia cívica en comunidades.</t>
  </si>
  <si>
    <t>Número de módulos implementados y atendidos.</t>
  </si>
  <si>
    <t>Implementar al menos 10 módulos en 3 años.</t>
  </si>
  <si>
    <t>Encuestas de satisfacción de los usuarios atendidos.</t>
  </si>
  <si>
    <t>1.5.2 Realizar campañas educativas sobre derechos y deberes
ciudadanos.</t>
  </si>
  <si>
    <t>Alcance de la campaña y participación ciudadana.</t>
  </si>
  <si>
    <t>Impactar al menos a 5,000 personas en 3 años.</t>
  </si>
  <si>
    <t>Métricas de participación y retroalimentación ciudadana.</t>
  </si>
  <si>
    <t>1.5.3 Fortalecer el sistema de mediación comunitaria.</t>
  </si>
  <si>
    <t>Número de casos de mediación resueltos.</t>
  </si>
  <si>
    <t>Resolver al menos
300 casos en 3 años.</t>
  </si>
  <si>
    <t>Reportes de éxito de mediación y satisfacción de las partes.</t>
  </si>
  <si>
    <t>1.5.4 Implementar talleres sobre resolución pacífica de conflictos en colonias.</t>
  </si>
  <si>
    <t>Número de talleres realizados.</t>
  </si>
  <si>
    <t>Realizar 15
talleres en 3 años.</t>
  </si>
  <si>
    <t>Evaluaciones pre y post taller para medir aprendizaje.</t>
  </si>
  <si>
    <t>1.5.5 Programa de Reinserción Social a través Servicio Comunitario y Oportunidades de Empleo.</t>
  </si>
  <si>
    <t>Creación de un programa eficiente</t>
  </si>
  <si>
    <t>Creación y Perfeccionamiento del programa en 3 años</t>
  </si>
  <si>
    <t>Personas impactadas positivamente</t>
  </si>
  <si>
    <t>Mejorar la iluminación en zonas estratégicas para disuadir a los delincuentes y aumentar la sensación de seguridad.</t>
  </si>
  <si>
    <t>1.6.1 Identificar y priorizar las zonas con mayor incidencia delictiva.</t>
  </si>
  <si>
    <t>Número de zonas identificadas y priorizadas.</t>
  </si>
  <si>
    <t>Mapear al menos 10 zonas críticas en el primer año.</t>
  </si>
  <si>
    <t>Informes de incidencia antes y después de intervención.</t>
  </si>
  <si>
    <t>1.6.2 Instalar luminarias LED de bajo consumo en áreas clave.</t>
  </si>
  <si>
    <t>Número de luminarias instaladas.</t>
  </si>
  <si>
    <t>Instalar al menos 500 luminarias en 3 años.</t>
  </si>
  <si>
    <t>Inspecciones periódicas para verificar funcionamiento.</t>
  </si>
  <si>
    <t>1.6.3 Realizar campañas de sensibilización sobre el cuidado del alumbrado.</t>
  </si>
  <si>
    <t>Alcance de la campaña y número de reportes de fallas.</t>
  </si>
  <si>
    <t>Reportes de mantenimiento y encuestas comunitarias.</t>
  </si>
  <si>
    <t>Informes trimestrales de las brigadas
vecinales.</t>
  </si>
  <si>
    <t>Establecer protocolos de atención a víctimas para garantizar
una atención integral y oportuna.</t>
  </si>
  <si>
    <t>1.7.1 Diseñar un protocolo de atención integral para víctimas.</t>
  </si>
  <si>
    <t>Existencia y difusión del protocolo.</t>
  </si>
  <si>
    <t>Implementar y distribuir el protocolo a todas las dependencias en 1 año.</t>
  </si>
  <si>
    <t>Evaluaciones de cumplimiento por parte de dependencias.</t>
  </si>
  <si>
    <t>1.7.2 Crear un canal de comunicación directa para víctimas (WhatsApp o línea gratuita).</t>
  </si>
  <si>
    <t>Número de casos atendidos a través del canal.</t>
  </si>
  <si>
    <t>Atender al menos 100 casos en 3 años.</t>
  </si>
  <si>
    <t>Encuestas de satisfacción con la atención recibida.</t>
  </si>
  <si>
    <t>1.7.3 Realizar talleres para víctimas sobre manejo emocional y asesoría legal.</t>
  </si>
  <si>
    <t>Realizar 10 talleres en 3 años con al
menos 200 participantes.</t>
  </si>
  <si>
    <t>Encuestas post taller sobre la
utilidad del contenido.</t>
  </si>
  <si>
    <t>1.7.4 Establecer una red de apoyo con instituciones locales.</t>
  </si>
  <si>
    <t>Número de instituciones colaborando.</t>
  </si>
  <si>
    <t>Integrar al menos 5 instituciones en 3 años.</t>
  </si>
  <si>
    <t>Informes anuales de colaboración y resultados.</t>
  </si>
  <si>
    <t>Realizar un mantenimiento constante de los parques y jardines, incluyendo poda, riego y limpieza, para garantizar que estén siempre en óptimas condiciones.</t>
  </si>
  <si>
    <t>4.11.5 Implementar un programa de apropiación social de la ciencia.</t>
  </si>
  <si>
    <t>4.12.5 Escritura, evaluación y mejora de reglamentos y procedimientos internos</t>
  </si>
  <si>
    <t>EJE 5: Rincón inteligente y capaz</t>
  </si>
  <si>
    <t>* Secretaría del H. Ayuntamiento.</t>
  </si>
  <si>
    <t>Lograr que al menos 60% de las dependencias municipales utilicen el sistema en su planeación y toma de decisiones.</t>
  </si>
  <si>
    <t>5.6.5 Implementación de un sistema de gestión urbana inteligente basado en datos abiertos para la planeación territorial, movilidad y servicios públicos.</t>
  </si>
  <si>
    <t>Unidad Administrativa</t>
  </si>
  <si>
    <t>Tener un sistema operativo y 50 reportes procesados en el primer año.</t>
  </si>
  <si>
    <t>Lograr 5,000 interacciones acumuladas en redes sociales durante 3 años.</t>
  </si>
  <si>
    <t>2.5.14 Espacio de dialogo para los jóvenes de Rincón de necesidades que beneficien o
perjudiquen a los jóvenes de su localidad con la finalidad de darles una resolución o canalizarlos a las áreas competentes.
Romos, acudiendo un
día a la semana a comunidades, colonias y fraccionamientos, en el cual tengan la oportunidad de expresar sus
propuestas, inquietudes y</t>
  </si>
  <si>
    <t>Protocolo de trabajo.
Bitácora de actividades.</t>
  </si>
  <si>
    <t>Meta Absoluta (especifica)</t>
  </si>
  <si>
    <t>Meta Absoluta</t>
  </si>
  <si>
    <t>Enero - Marzo</t>
  </si>
  <si>
    <t>1er Trimestre</t>
  </si>
  <si>
    <t>2do Trimestre</t>
  </si>
  <si>
    <t>3er Trimestre</t>
  </si>
  <si>
    <t>4to Trimestre</t>
  </si>
  <si>
    <t>Abril - Junio</t>
  </si>
  <si>
    <t>Julio -Septiembre</t>
  </si>
  <si>
    <t>Octubre - Diciembre</t>
  </si>
  <si>
    <t>Porcentaje Absoluto</t>
  </si>
  <si>
    <t>Ejercicio 2025</t>
  </si>
  <si>
    <t>Evaluacion Ejercicio 2025</t>
  </si>
  <si>
    <t>Departamento</t>
  </si>
  <si>
    <t xml:space="preserve">Observación </t>
  </si>
  <si>
    <t>Meta Alcanzada</t>
  </si>
  <si>
    <t>Porcentaje Alcanzado</t>
  </si>
  <si>
    <t>Llevar a cabo 6 simulacros cada año durante 3 años.</t>
  </si>
  <si>
    <t>Evaluaciones post-simulacro por supervisores.</t>
  </si>
  <si>
    <t>5.9.5 Migración de trámites presenciales a tramites digitales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</si>
</sst>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4" x14ac:knownFonts="1">
    <font>
      <sz val="11"/>
      <color rgb="FF000000"/>
      <name val="Calibri"/>
      <family val="2"/>
      <charset val="204"/>
    </font>
    <font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313133"/>
      <name val="Arial"/>
      <family val="2"/>
    </font>
    <font>
      <sz val="11"/>
      <color rgb="FF000000"/>
      <name val="Calibri"/>
      <family val="2"/>
      <charset val="204"/>
    </font>
    <font>
      <b/>
      <sz val="9"/>
      <color indexed="81"/>
      <name val="Tahoma"/>
      <charset val="1"/>
    </font>
    <font>
      <b/>
      <sz val="10"/>
      <color rgb="FF000000"/>
      <name val="Century Gothic"/>
      <family val="2"/>
    </font>
    <font>
      <sz val="10"/>
      <color rgb="FF000000"/>
      <name val="Calibri"/>
      <family val="2"/>
      <charset val="204"/>
    </font>
    <font>
      <b/>
      <sz val="10"/>
      <color rgb="FFFFFFFF"/>
      <name val="Arial"/>
      <family val="2"/>
    </font>
    <font>
      <sz val="10"/>
      <color rgb="FFA48658"/>
      <name val="Arial"/>
      <family val="2"/>
    </font>
    <font>
      <sz val="10"/>
      <color rgb="FF000000"/>
      <name val="Calibri"/>
      <family val="2"/>
    </font>
    <font>
      <sz val="8"/>
      <name val="Calibri"/>
      <family val="2"/>
      <charset val="204"/>
    </font>
    <font>
      <sz val="10"/>
      <name val="Calibri"/>
      <family val="2"/>
    </font>
    <font>
      <b/>
      <sz val="11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A48758"/>
      </patternFill>
    </fill>
    <fill>
      <patternFill patternType="solid">
        <fgColor rgb="FF6D1438"/>
      </patternFill>
    </fill>
    <fill>
      <patternFill patternType="solid">
        <fgColor rgb="FFCECECE"/>
      </patternFill>
    </fill>
    <fill>
      <patternFill patternType="solid">
        <fgColor rgb="FFA5875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45E61"/>
        <bgColor indexed="64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2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" fontId="9" fillId="0" borderId="6" xfId="0" applyNumberFormat="1" applyFont="1" applyBorder="1" applyAlignment="1">
      <alignment horizontal="center" vertical="center" wrapText="1" shrinkToFi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9" fontId="0" fillId="0" borderId="8" xfId="1" applyFont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2" fillId="7" borderId="13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0" fontId="2" fillId="0" borderId="12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6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8" fillId="5" borderId="6" xfId="0" applyFont="1" applyFill="1" applyBorder="1" applyAlignment="1">
      <alignment vertical="center" wrapText="1"/>
    </xf>
    <xf numFmtId="0" fontId="6" fillId="0" borderId="13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8" fillId="5" borderId="12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12" xfId="0" applyFont="1" applyBorder="1"/>
    <xf numFmtId="0" fontId="2" fillId="0" borderId="6" xfId="0" applyFont="1" applyBorder="1"/>
    <xf numFmtId="0" fontId="2" fillId="0" borderId="12" xfId="0" applyFont="1" applyBorder="1" applyAlignment="1">
      <alignment vertical="center" wrapText="1"/>
    </xf>
    <xf numFmtId="0" fontId="2" fillId="8" borderId="8" xfId="0" applyFont="1" applyFill="1" applyBorder="1" applyAlignment="1">
      <alignment horizontal="center" vertical="center" wrapText="1"/>
    </xf>
    <xf numFmtId="164" fontId="7" fillId="7" borderId="8" xfId="2" applyNumberFormat="1" applyFont="1" applyFill="1" applyBorder="1" applyAlignment="1">
      <alignment horizontal="center" vertical="center" wrapText="1"/>
    </xf>
    <xf numFmtId="2" fontId="7" fillId="7" borderId="8" xfId="0" applyNumberFormat="1" applyFont="1" applyFill="1" applyBorder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 wrapText="1"/>
    </xf>
    <xf numFmtId="0" fontId="6" fillId="6" borderId="24" xfId="0" applyFont="1" applyFill="1" applyBorder="1" applyAlignment="1">
      <alignment horizontal="center" vertical="center" wrapText="1"/>
    </xf>
    <xf numFmtId="0" fontId="6" fillId="6" borderId="1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8" fillId="5" borderId="22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8" fillId="5" borderId="20" xfId="0" applyFont="1" applyFill="1" applyBorder="1" applyAlignment="1">
      <alignment horizontal="center" vertical="center" wrapText="1"/>
    </xf>
    <xf numFmtId="0" fontId="8" fillId="5" borderId="23" xfId="0" applyFont="1" applyFill="1" applyBorder="1" applyAlignment="1">
      <alignment horizontal="center" vertical="center" wrapText="1"/>
    </xf>
    <xf numFmtId="0" fontId="8" fillId="5" borderId="18" xfId="0" applyFont="1" applyFill="1" applyBorder="1" applyAlignment="1">
      <alignment horizontal="center" vertical="center" wrapText="1"/>
    </xf>
    <xf numFmtId="0" fontId="8" fillId="5" borderId="19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8" fillId="6" borderId="12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13" fillId="5" borderId="22" xfId="0" applyFont="1" applyFill="1" applyBorder="1" applyAlignment="1">
      <alignment horizontal="center" vertical="center" wrapText="1"/>
    </xf>
    <xf numFmtId="0" fontId="13" fillId="5" borderId="12" xfId="0" applyFont="1" applyFill="1" applyBorder="1" applyAlignment="1">
      <alignment horizontal="center" vertical="center" wrapText="1"/>
    </xf>
    <xf numFmtId="0" fontId="13" fillId="5" borderId="20" xfId="0" applyFont="1" applyFill="1" applyBorder="1" applyAlignment="1">
      <alignment horizontal="center" vertical="center" wrapText="1"/>
    </xf>
    <xf numFmtId="0" fontId="13" fillId="5" borderId="23" xfId="0" applyFont="1" applyFill="1" applyBorder="1" applyAlignment="1">
      <alignment horizontal="center" vertical="center" wrapText="1"/>
    </xf>
    <xf numFmtId="0" fontId="13" fillId="5" borderId="18" xfId="0" applyFont="1" applyFill="1" applyBorder="1" applyAlignment="1">
      <alignment horizontal="center" vertical="center" wrapText="1"/>
    </xf>
    <xf numFmtId="0" fontId="13" fillId="5" borderId="19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13" fillId="5" borderId="16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 wrapText="1"/>
    </xf>
  </cellXfs>
  <cellStyles count="3">
    <cellStyle name="Millares" xfId="2" builtinId="3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E45E61"/>
      <color rgb="FFCC2226"/>
      <color rgb="FFA11B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1066800</xdr:colOff>
      <xdr:row>135</xdr:row>
      <xdr:rowOff>0</xdr:rowOff>
    </xdr:from>
    <xdr:ext cx="5001210" cy="173736"/>
    <xdr:sp macro="" textlink="">
      <xdr:nvSpPr>
        <xdr:cNvPr id="13" name="TextBox 50">
          <a:extLst>
            <a:ext uri="{FF2B5EF4-FFF2-40B4-BE49-F238E27FC236}">
              <a16:creationId xmlns:a16="http://schemas.microsoft.com/office/drawing/2014/main" id="{27B548D5-5BD0-4AF6-A92C-F312ACD30B49}"/>
            </a:ext>
          </a:extLst>
        </xdr:cNvPr>
        <xdr:cNvSpPr txBox="1"/>
      </xdr:nvSpPr>
      <xdr:spPr>
        <a:xfrm>
          <a:off x="1066800" y="2286000"/>
          <a:ext cx="5001210" cy="173736"/>
        </a:xfrm>
        <a:prstGeom prst="rect">
          <a:avLst/>
        </a:prstGeom>
      </xdr:spPr>
      <xdr:txBody>
        <a:bodyPr vertOverflow="clip" horzOverflow="clip" wrap="square" lIns="0" tIns="0" rIns="0" bIns="0" rtlCol="0" anchor="t"/>
        <a:lstStyle/>
        <a:p>
          <a:endParaRPr sz="9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T124"/>
  <sheetViews>
    <sheetView topLeftCell="A142" zoomScale="60" zoomScaleNormal="60" workbookViewId="0">
      <selection activeCell="D97" sqref="D97"/>
    </sheetView>
  </sheetViews>
  <sheetFormatPr baseColWidth="10" defaultColWidth="9.140625" defaultRowHeight="12.75" x14ac:dyDescent="0.25"/>
  <cols>
    <col min="1" max="1" width="52.28515625" style="14" customWidth="1"/>
    <col min="2" max="2" width="19" style="14" bestFit="1" customWidth="1"/>
    <col min="3" max="3" width="19" style="14" customWidth="1"/>
    <col min="4" max="4" width="35.28515625" style="14" customWidth="1"/>
    <col min="5" max="5" width="17.5703125" style="14" bestFit="1" customWidth="1"/>
    <col min="6" max="6" width="23.7109375" style="14" bestFit="1" customWidth="1"/>
    <col min="7" max="7" width="29.28515625" style="14" bestFit="1" customWidth="1"/>
    <col min="8" max="8" width="14.28515625" style="14" bestFit="1" customWidth="1"/>
    <col min="9" max="10" width="9.140625" style="14"/>
    <col min="11" max="11" width="9.85546875" style="14" customWidth="1"/>
    <col min="12" max="12" width="9.140625" style="14"/>
    <col min="13" max="13" width="12.28515625" style="14" bestFit="1" customWidth="1"/>
    <col min="14" max="14" width="12" style="14" customWidth="1"/>
    <col min="15" max="15" width="11.85546875" style="14" bestFit="1" customWidth="1"/>
    <col min="16" max="17" width="11.42578125" style="14" bestFit="1" customWidth="1"/>
    <col min="18" max="18" width="12.28515625" style="14" bestFit="1" customWidth="1"/>
    <col min="19" max="19" width="12" style="14" bestFit="1" customWidth="1"/>
    <col min="20" max="16384" width="9.140625" style="14"/>
  </cols>
  <sheetData>
    <row r="2" spans="1:20" ht="38.25" x14ac:dyDescent="0.25">
      <c r="A2" s="72" t="s">
        <v>80</v>
      </c>
      <c r="B2" s="72"/>
      <c r="C2" s="72"/>
      <c r="D2" s="72"/>
      <c r="E2" s="72"/>
      <c r="F2" s="72"/>
      <c r="G2" s="72"/>
      <c r="H2" s="72">
        <v>2025</v>
      </c>
      <c r="I2" s="25" t="s">
        <v>1435</v>
      </c>
      <c r="J2" s="25" t="s">
        <v>1440</v>
      </c>
      <c r="K2" s="25" t="s">
        <v>1441</v>
      </c>
      <c r="L2" s="25" t="s">
        <v>1442</v>
      </c>
      <c r="M2" s="25" t="s">
        <v>1444</v>
      </c>
      <c r="N2" s="25" t="s">
        <v>1435</v>
      </c>
      <c r="O2" s="25" t="s">
        <v>1440</v>
      </c>
      <c r="P2" s="25" t="s">
        <v>1441</v>
      </c>
      <c r="Q2" s="25" t="s">
        <v>1442</v>
      </c>
      <c r="R2" s="25" t="s">
        <v>1445</v>
      </c>
      <c r="S2" s="54" t="s">
        <v>1447</v>
      </c>
    </row>
    <row r="3" spans="1:20" ht="12.75" customHeight="1" x14ac:dyDescent="0.25">
      <c r="A3" s="74" t="s">
        <v>0</v>
      </c>
      <c r="B3" s="74"/>
      <c r="C3" s="74"/>
      <c r="D3" s="74"/>
      <c r="E3" s="74"/>
      <c r="F3" s="74"/>
      <c r="G3" s="74"/>
      <c r="H3" s="72"/>
      <c r="I3" s="73" t="s">
        <v>1436</v>
      </c>
      <c r="J3" s="73" t="s">
        <v>1437</v>
      </c>
      <c r="K3" s="73" t="s">
        <v>1438</v>
      </c>
      <c r="L3" s="73" t="s">
        <v>1439</v>
      </c>
      <c r="M3" s="73" t="s">
        <v>55</v>
      </c>
      <c r="N3" s="73" t="s">
        <v>1436</v>
      </c>
      <c r="O3" s="73" t="s">
        <v>1437</v>
      </c>
      <c r="P3" s="73" t="s">
        <v>1438</v>
      </c>
      <c r="Q3" s="73" t="s">
        <v>1439</v>
      </c>
      <c r="R3" s="73" t="s">
        <v>55</v>
      </c>
      <c r="S3" s="54"/>
    </row>
    <row r="4" spans="1:20" x14ac:dyDescent="0.25">
      <c r="A4" s="74"/>
      <c r="B4" s="74"/>
      <c r="C4" s="74"/>
      <c r="D4" s="74"/>
      <c r="E4" s="74"/>
      <c r="F4" s="74"/>
      <c r="G4" s="74"/>
      <c r="H4" s="72"/>
      <c r="I4" s="73"/>
      <c r="J4" s="73"/>
      <c r="K4" s="73"/>
      <c r="L4" s="73"/>
      <c r="M4" s="73"/>
      <c r="N4" s="73"/>
      <c r="O4" s="73"/>
      <c r="P4" s="73"/>
      <c r="Q4" s="73"/>
      <c r="R4" s="73"/>
      <c r="S4" s="54"/>
    </row>
    <row r="5" spans="1:20" ht="25.5" x14ac:dyDescent="0.25">
      <c r="A5" s="23" t="s">
        <v>1</v>
      </c>
      <c r="B5" s="23" t="s">
        <v>1428</v>
      </c>
      <c r="C5" s="23" t="s">
        <v>1446</v>
      </c>
      <c r="D5" s="23" t="s">
        <v>2</v>
      </c>
      <c r="E5" s="23" t="s">
        <v>3</v>
      </c>
      <c r="F5" s="23" t="s">
        <v>4</v>
      </c>
      <c r="G5" s="23" t="s">
        <v>5</v>
      </c>
      <c r="H5" s="23" t="s">
        <v>1433</v>
      </c>
      <c r="I5" s="23" t="s">
        <v>1434</v>
      </c>
      <c r="J5" s="23" t="s">
        <v>1434</v>
      </c>
      <c r="K5" s="23" t="s">
        <v>1434</v>
      </c>
      <c r="L5" s="23" t="s">
        <v>1434</v>
      </c>
      <c r="M5" s="23" t="s">
        <v>1443</v>
      </c>
      <c r="N5" s="23" t="s">
        <v>1448</v>
      </c>
      <c r="O5" s="23" t="s">
        <v>1448</v>
      </c>
      <c r="P5" s="23" t="s">
        <v>1448</v>
      </c>
      <c r="Q5" s="23" t="s">
        <v>1448</v>
      </c>
      <c r="R5" s="23" t="s">
        <v>1449</v>
      </c>
      <c r="S5" s="54"/>
    </row>
    <row r="6" spans="1:20" ht="63.75" x14ac:dyDescent="0.25">
      <c r="A6" s="75" t="s">
        <v>1276</v>
      </c>
      <c r="B6" s="28"/>
      <c r="C6" s="28"/>
      <c r="D6" s="4" t="s">
        <v>683</v>
      </c>
      <c r="E6" s="4" t="s">
        <v>1277</v>
      </c>
      <c r="F6" s="4" t="s">
        <v>1278</v>
      </c>
      <c r="G6" s="4" t="s">
        <v>1279</v>
      </c>
      <c r="H6" s="28"/>
      <c r="I6" s="27"/>
      <c r="J6" s="27"/>
      <c r="K6" s="27"/>
      <c r="L6" s="27"/>
      <c r="M6" s="24" t="e">
        <f>IF(SUM(I6:L6)=H6,SUM(I6:L6)*100%/H6,"Dato erroneo no cumple con la meta Absoluta (establecida)")</f>
        <v>#DIV/0!</v>
      </c>
      <c r="N6" s="27"/>
      <c r="O6" s="27"/>
      <c r="P6" s="27"/>
      <c r="Q6" s="27"/>
      <c r="R6" s="24" t="e">
        <f>SUM(N6:Q6)*100%/H6</f>
        <v>#DIV/0!</v>
      </c>
      <c r="S6" s="15"/>
    </row>
    <row r="7" spans="1:20" ht="51" x14ac:dyDescent="0.25">
      <c r="A7" s="75"/>
      <c r="B7" s="28"/>
      <c r="C7" s="28"/>
      <c r="D7" s="4" t="s">
        <v>1280</v>
      </c>
      <c r="E7" s="4" t="s">
        <v>1281</v>
      </c>
      <c r="F7" s="4" t="s">
        <v>1282</v>
      </c>
      <c r="G7" s="4" t="s">
        <v>1283</v>
      </c>
      <c r="H7" s="28"/>
      <c r="I7" s="27"/>
      <c r="J7" s="27"/>
      <c r="K7" s="27"/>
      <c r="L7" s="27"/>
      <c r="M7" s="24" t="e">
        <f t="shared" ref="M7:M11" si="0">IF(SUM(I7:L7)=H7,SUM(I7:L7)*100%/H7,"Dato erroneo no cumple con la meta Absoluta (establecida)")</f>
        <v>#DIV/0!</v>
      </c>
      <c r="N7" s="27"/>
      <c r="O7" s="27"/>
      <c r="P7" s="27"/>
      <c r="Q7" s="27"/>
      <c r="R7" s="24" t="e">
        <f t="shared" ref="R7:R10" si="1">SUM(N7:Q7)*100%/H7</f>
        <v>#DIV/0!</v>
      </c>
      <c r="S7" s="15"/>
    </row>
    <row r="8" spans="1:20" ht="76.5" x14ac:dyDescent="0.25">
      <c r="A8" s="75"/>
      <c r="B8" s="28"/>
      <c r="C8" s="28"/>
      <c r="D8" s="4" t="s">
        <v>684</v>
      </c>
      <c r="E8" s="4" t="s">
        <v>1284</v>
      </c>
      <c r="F8" s="4" t="s">
        <v>1285</v>
      </c>
      <c r="G8" s="4" t="s">
        <v>1286</v>
      </c>
      <c r="H8" s="28"/>
      <c r="I8" s="27"/>
      <c r="J8" s="27"/>
      <c r="K8" s="27"/>
      <c r="L8" s="27"/>
      <c r="M8" s="24" t="e">
        <f t="shared" si="0"/>
        <v>#DIV/0!</v>
      </c>
      <c r="N8" s="27"/>
      <c r="O8" s="27"/>
      <c r="P8" s="27"/>
      <c r="Q8" s="27"/>
      <c r="R8" s="24" t="e">
        <f t="shared" si="1"/>
        <v>#DIV/0!</v>
      </c>
      <c r="S8" s="15"/>
    </row>
    <row r="9" spans="1:20" ht="51" x14ac:dyDescent="0.25">
      <c r="A9" s="75"/>
      <c r="B9" s="28"/>
      <c r="C9" s="28"/>
      <c r="D9" s="4" t="s">
        <v>1287</v>
      </c>
      <c r="E9" s="4" t="s">
        <v>1288</v>
      </c>
      <c r="F9" s="4" t="s">
        <v>1289</v>
      </c>
      <c r="G9" s="4" t="s">
        <v>1290</v>
      </c>
      <c r="H9" s="28"/>
      <c r="I9" s="27"/>
      <c r="J9" s="27"/>
      <c r="K9" s="27"/>
      <c r="L9" s="27"/>
      <c r="M9" s="24" t="e">
        <f t="shared" si="0"/>
        <v>#DIV/0!</v>
      </c>
      <c r="N9" s="27"/>
      <c r="O9" s="27"/>
      <c r="P9" s="27"/>
      <c r="Q9" s="27"/>
      <c r="R9" s="24" t="e">
        <f t="shared" si="1"/>
        <v>#DIV/0!</v>
      </c>
      <c r="S9" s="15"/>
    </row>
    <row r="10" spans="1:20" ht="38.25" x14ac:dyDescent="0.25">
      <c r="A10" s="75"/>
      <c r="B10" s="28"/>
      <c r="C10" s="28"/>
      <c r="D10" s="4" t="s">
        <v>685</v>
      </c>
      <c r="E10" s="4" t="s">
        <v>1291</v>
      </c>
      <c r="F10" s="75" t="s">
        <v>1292</v>
      </c>
      <c r="G10" s="75" t="s">
        <v>1293</v>
      </c>
      <c r="H10" s="28"/>
      <c r="I10" s="27"/>
      <c r="J10" s="27"/>
      <c r="K10" s="27"/>
      <c r="L10" s="27"/>
      <c r="M10" s="24" t="e">
        <f t="shared" si="0"/>
        <v>#DIV/0!</v>
      </c>
      <c r="N10" s="27"/>
      <c r="O10" s="27"/>
      <c r="P10" s="27"/>
      <c r="Q10" s="27"/>
      <c r="R10" s="24" t="e">
        <f t="shared" si="1"/>
        <v>#DIV/0!</v>
      </c>
      <c r="S10" s="15"/>
    </row>
    <row r="11" spans="1:20" ht="38.25" x14ac:dyDescent="0.25">
      <c r="A11" s="75"/>
      <c r="B11" s="28"/>
      <c r="C11" s="28"/>
      <c r="D11" s="4" t="s">
        <v>1294</v>
      </c>
      <c r="E11" s="4" t="s">
        <v>686</v>
      </c>
      <c r="F11" s="75"/>
      <c r="G11" s="75"/>
      <c r="H11" s="28"/>
      <c r="I11" s="27"/>
      <c r="J11" s="27"/>
      <c r="K11" s="27"/>
      <c r="L11" s="27"/>
      <c r="M11" s="24" t="e">
        <f t="shared" si="0"/>
        <v>#DIV/0!</v>
      </c>
      <c r="N11" s="27"/>
      <c r="O11" s="27"/>
      <c r="P11" s="27"/>
      <c r="Q11" s="27"/>
      <c r="R11" s="24" t="e">
        <f>SUM(N11:Q11)*100%/H11</f>
        <v>#DIV/0!</v>
      </c>
      <c r="S11" s="15"/>
    </row>
    <row r="12" spans="1:20" ht="15" x14ac:dyDescent="0.25">
      <c r="A12" s="55" t="s">
        <v>6</v>
      </c>
      <c r="B12" s="55"/>
      <c r="C12" s="55"/>
      <c r="D12" s="55"/>
      <c r="E12" s="55"/>
      <c r="F12" s="55"/>
      <c r="G12" s="55"/>
      <c r="H12"/>
      <c r="I12"/>
      <c r="J12"/>
      <c r="K12"/>
      <c r="L12"/>
      <c r="M12"/>
      <c r="N12"/>
      <c r="O12"/>
      <c r="P12"/>
      <c r="Q12"/>
      <c r="R12"/>
      <c r="S12"/>
      <c r="T12"/>
    </row>
    <row r="13" spans="1:20" ht="15" x14ac:dyDescent="0.25">
      <c r="A13" s="7"/>
      <c r="B13" s="7"/>
      <c r="C13" s="7"/>
      <c r="D13" s="7"/>
      <c r="E13" s="7"/>
      <c r="F13" s="7"/>
      <c r="G13" s="7"/>
      <c r="H13"/>
      <c r="I13"/>
      <c r="J13"/>
      <c r="K13"/>
      <c r="L13"/>
      <c r="M13"/>
      <c r="N13"/>
      <c r="O13"/>
      <c r="P13"/>
      <c r="Q13"/>
      <c r="R13"/>
      <c r="S13"/>
      <c r="T13"/>
    </row>
    <row r="14" spans="1:20" ht="15" x14ac:dyDescent="0.25">
      <c r="A14" s="7"/>
      <c r="B14" s="7"/>
      <c r="C14" s="7"/>
      <c r="D14" s="7"/>
      <c r="E14" s="7"/>
      <c r="F14" s="7"/>
      <c r="G14" s="7"/>
      <c r="H14"/>
      <c r="I14"/>
      <c r="J14"/>
      <c r="K14"/>
      <c r="L14"/>
      <c r="M14"/>
      <c r="N14"/>
      <c r="O14"/>
      <c r="P14"/>
      <c r="Q14"/>
      <c r="R14"/>
      <c r="S14"/>
      <c r="T14"/>
    </row>
    <row r="15" spans="1:20" x14ac:dyDescent="0.25">
      <c r="A15" s="7"/>
      <c r="B15" s="7"/>
      <c r="C15" s="7"/>
      <c r="D15" s="7"/>
      <c r="E15" s="7"/>
      <c r="F15" s="7"/>
      <c r="G15" s="7"/>
      <c r="H15" s="7"/>
    </row>
    <row r="16" spans="1:20" x14ac:dyDescent="0.25">
      <c r="A16" s="7"/>
      <c r="B16" s="7"/>
      <c r="C16" s="7"/>
      <c r="D16" s="7"/>
      <c r="E16" s="7"/>
      <c r="F16" s="7"/>
      <c r="G16" s="7"/>
      <c r="H16" s="7"/>
    </row>
    <row r="17" spans="1:19" x14ac:dyDescent="0.25">
      <c r="A17" s="7"/>
      <c r="B17" s="7"/>
      <c r="C17" s="7"/>
      <c r="D17" s="7"/>
      <c r="E17" s="7"/>
      <c r="F17" s="7"/>
      <c r="G17" s="7"/>
      <c r="H17" s="7"/>
    </row>
    <row r="18" spans="1:19" ht="25.5" customHeight="1" x14ac:dyDescent="0.25">
      <c r="A18" s="72" t="s">
        <v>80</v>
      </c>
      <c r="B18" s="72"/>
      <c r="C18" s="72"/>
      <c r="D18" s="72"/>
      <c r="E18" s="72"/>
      <c r="F18" s="72"/>
      <c r="G18" s="72"/>
      <c r="H18" s="72">
        <v>2025</v>
      </c>
      <c r="I18" s="25" t="s">
        <v>1435</v>
      </c>
      <c r="J18" s="25" t="s">
        <v>1440</v>
      </c>
      <c r="K18" s="25" t="s">
        <v>1441</v>
      </c>
      <c r="L18" s="25" t="s">
        <v>1442</v>
      </c>
      <c r="M18" s="25" t="s">
        <v>1444</v>
      </c>
      <c r="N18" s="25" t="s">
        <v>1435</v>
      </c>
      <c r="O18" s="25" t="s">
        <v>1440</v>
      </c>
      <c r="P18" s="25" t="s">
        <v>1441</v>
      </c>
      <c r="Q18" s="25" t="s">
        <v>1442</v>
      </c>
      <c r="R18" s="25" t="s">
        <v>1445</v>
      </c>
      <c r="S18" s="54" t="s">
        <v>1447</v>
      </c>
    </row>
    <row r="19" spans="1:19" ht="12.75" customHeight="1" x14ac:dyDescent="0.25">
      <c r="A19" s="74" t="s">
        <v>7</v>
      </c>
      <c r="B19" s="74"/>
      <c r="C19" s="74"/>
      <c r="D19" s="74"/>
      <c r="E19" s="74"/>
      <c r="F19" s="74"/>
      <c r="G19" s="74"/>
      <c r="H19" s="72"/>
      <c r="I19" s="73" t="s">
        <v>1436</v>
      </c>
      <c r="J19" s="73" t="s">
        <v>1437</v>
      </c>
      <c r="K19" s="73" t="s">
        <v>1438</v>
      </c>
      <c r="L19" s="73" t="s">
        <v>1439</v>
      </c>
      <c r="M19" s="73" t="s">
        <v>55</v>
      </c>
      <c r="N19" s="73" t="s">
        <v>1436</v>
      </c>
      <c r="O19" s="73" t="s">
        <v>1437</v>
      </c>
      <c r="P19" s="73" t="s">
        <v>1438</v>
      </c>
      <c r="Q19" s="73" t="s">
        <v>1439</v>
      </c>
      <c r="R19" s="73" t="s">
        <v>55</v>
      </c>
      <c r="S19" s="54"/>
    </row>
    <row r="20" spans="1:19" x14ac:dyDescent="0.25">
      <c r="A20" s="74"/>
      <c r="B20" s="74"/>
      <c r="C20" s="74"/>
      <c r="D20" s="74"/>
      <c r="E20" s="74"/>
      <c r="F20" s="74"/>
      <c r="G20" s="74"/>
      <c r="H20" s="72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54"/>
    </row>
    <row r="21" spans="1:19" ht="25.5" x14ac:dyDescent="0.25">
      <c r="A21" s="23" t="s">
        <v>1</v>
      </c>
      <c r="B21" s="23" t="s">
        <v>1428</v>
      </c>
      <c r="C21" s="23" t="s">
        <v>1446</v>
      </c>
      <c r="D21" s="23" t="s">
        <v>2</v>
      </c>
      <c r="E21" s="23" t="s">
        <v>3</v>
      </c>
      <c r="F21" s="23" t="s">
        <v>4</v>
      </c>
      <c r="G21" s="23" t="s">
        <v>5</v>
      </c>
      <c r="H21" s="23" t="s">
        <v>1433</v>
      </c>
      <c r="I21" s="23" t="s">
        <v>1434</v>
      </c>
      <c r="J21" s="23" t="s">
        <v>1434</v>
      </c>
      <c r="K21" s="23" t="s">
        <v>1434</v>
      </c>
      <c r="L21" s="23" t="s">
        <v>1434</v>
      </c>
      <c r="M21" s="23" t="s">
        <v>1443</v>
      </c>
      <c r="N21" s="23" t="s">
        <v>1448</v>
      </c>
      <c r="O21" s="23" t="s">
        <v>1448</v>
      </c>
      <c r="P21" s="23" t="s">
        <v>1448</v>
      </c>
      <c r="Q21" s="23" t="s">
        <v>1448</v>
      </c>
      <c r="R21" s="23" t="s">
        <v>1449</v>
      </c>
      <c r="S21" s="54"/>
    </row>
    <row r="22" spans="1:19" ht="38.25" x14ac:dyDescent="0.25">
      <c r="A22" s="75" t="s">
        <v>1295</v>
      </c>
      <c r="B22" s="28"/>
      <c r="C22" s="28"/>
      <c r="D22" s="4" t="s">
        <v>1296</v>
      </c>
      <c r="E22" s="4" t="s">
        <v>1297</v>
      </c>
      <c r="F22" s="4" t="s">
        <v>1429</v>
      </c>
      <c r="G22" s="4" t="s">
        <v>1298</v>
      </c>
      <c r="H22" s="28"/>
      <c r="I22" s="27"/>
      <c r="J22" s="27"/>
      <c r="K22" s="27"/>
      <c r="L22" s="27"/>
      <c r="M22" s="24" t="e">
        <f>IF(SUM(I22:L22)=H22,SUM(I22:L22)*100%/H22,"Dato erroneo no cumple con la meta Absoluta (establecida)")</f>
        <v>#DIV/0!</v>
      </c>
      <c r="N22" s="27"/>
      <c r="O22" s="27"/>
      <c r="P22" s="27"/>
      <c r="Q22" s="27"/>
      <c r="R22" s="24" t="e">
        <f>SUM(N22:Q22)*100%/H22</f>
        <v>#DIV/0!</v>
      </c>
      <c r="S22" s="15"/>
    </row>
    <row r="23" spans="1:19" ht="51" x14ac:dyDescent="0.25">
      <c r="A23" s="75"/>
      <c r="B23" s="28"/>
      <c r="C23" s="28"/>
      <c r="D23" s="4" t="s">
        <v>1299</v>
      </c>
      <c r="E23" s="4" t="s">
        <v>1300</v>
      </c>
      <c r="F23" s="4" t="s">
        <v>1430</v>
      </c>
      <c r="G23" s="4" t="s">
        <v>1301</v>
      </c>
      <c r="H23" s="28"/>
      <c r="I23" s="27"/>
      <c r="J23" s="27"/>
      <c r="K23" s="27"/>
      <c r="L23" s="27"/>
      <c r="M23" s="24" t="e">
        <f t="shared" ref="M23:M31" si="2">IF(SUM(I23:L23)=H23,SUM(I23:L23)*100%/H23,"Dato erroneo no cumple con la meta Absoluta (establecida)")</f>
        <v>#DIV/0!</v>
      </c>
      <c r="N23" s="27"/>
      <c r="O23" s="27"/>
      <c r="P23" s="27"/>
      <c r="Q23" s="27"/>
      <c r="R23" s="24" t="e">
        <f t="shared" ref="R23:R31" si="3">SUM(N23:Q23)*100%/H23</f>
        <v>#DIV/0!</v>
      </c>
      <c r="S23" s="15"/>
    </row>
    <row r="24" spans="1:19" ht="63.75" x14ac:dyDescent="0.25">
      <c r="A24" s="75"/>
      <c r="B24" s="28"/>
      <c r="C24" s="28"/>
      <c r="D24" s="4" t="s">
        <v>1302</v>
      </c>
      <c r="E24" s="4" t="s">
        <v>1303</v>
      </c>
      <c r="F24" s="4" t="s">
        <v>1304</v>
      </c>
      <c r="G24" s="4" t="s">
        <v>1305</v>
      </c>
      <c r="H24" s="28"/>
      <c r="I24" s="27"/>
      <c r="J24" s="27"/>
      <c r="K24" s="27"/>
      <c r="L24" s="27"/>
      <c r="M24" s="24" t="e">
        <f t="shared" si="2"/>
        <v>#DIV/0!</v>
      </c>
      <c r="N24" s="27"/>
      <c r="O24" s="27"/>
      <c r="P24" s="27"/>
      <c r="Q24" s="27"/>
      <c r="R24" s="24" t="e">
        <f t="shared" si="3"/>
        <v>#DIV/0!</v>
      </c>
      <c r="S24" s="15"/>
    </row>
    <row r="25" spans="1:19" ht="51" x14ac:dyDescent="0.25">
      <c r="A25" s="75"/>
      <c r="B25" s="28"/>
      <c r="C25" s="28"/>
      <c r="D25" s="4" t="s">
        <v>687</v>
      </c>
      <c r="E25" s="4" t="s">
        <v>1306</v>
      </c>
      <c r="F25" s="4" t="s">
        <v>1307</v>
      </c>
      <c r="G25" s="4" t="s">
        <v>1308</v>
      </c>
      <c r="H25" s="28"/>
      <c r="I25" s="27"/>
      <c r="J25" s="27"/>
      <c r="K25" s="27"/>
      <c r="L25" s="27"/>
      <c r="M25" s="24" t="e">
        <f t="shared" si="2"/>
        <v>#DIV/0!</v>
      </c>
      <c r="N25" s="27"/>
      <c r="O25" s="27"/>
      <c r="P25" s="27"/>
      <c r="Q25" s="27"/>
      <c r="R25" s="24" t="e">
        <f t="shared" si="3"/>
        <v>#DIV/0!</v>
      </c>
      <c r="S25" s="15"/>
    </row>
    <row r="26" spans="1:19" ht="63.75" x14ac:dyDescent="0.25">
      <c r="A26" s="75"/>
      <c r="B26" s="28"/>
      <c r="C26" s="28"/>
      <c r="D26" s="4" t="s">
        <v>1309</v>
      </c>
      <c r="E26" s="4" t="s">
        <v>1310</v>
      </c>
      <c r="F26" s="4" t="s">
        <v>1311</v>
      </c>
      <c r="G26" s="4" t="s">
        <v>1312</v>
      </c>
      <c r="H26" s="28"/>
      <c r="I26" s="27"/>
      <c r="J26" s="27"/>
      <c r="K26" s="27"/>
      <c r="L26" s="27"/>
      <c r="M26" s="24" t="e">
        <f t="shared" si="2"/>
        <v>#DIV/0!</v>
      </c>
      <c r="N26" s="27"/>
      <c r="O26" s="27"/>
      <c r="P26" s="27"/>
      <c r="Q26" s="27"/>
      <c r="R26" s="24" t="e">
        <f t="shared" si="3"/>
        <v>#DIV/0!</v>
      </c>
      <c r="S26" s="15"/>
    </row>
    <row r="27" spans="1:19" ht="63.75" x14ac:dyDescent="0.25">
      <c r="A27" s="75"/>
      <c r="B27" s="28"/>
      <c r="C27" s="28"/>
      <c r="D27" s="4" t="s">
        <v>688</v>
      </c>
      <c r="E27" s="4" t="s">
        <v>1313</v>
      </c>
      <c r="F27" s="4" t="s">
        <v>1314</v>
      </c>
      <c r="G27" s="4" t="s">
        <v>1315</v>
      </c>
      <c r="H27" s="28"/>
      <c r="I27" s="27"/>
      <c r="J27" s="27"/>
      <c r="K27" s="27"/>
      <c r="L27" s="27"/>
      <c r="M27" s="24" t="e">
        <f t="shared" si="2"/>
        <v>#DIV/0!</v>
      </c>
      <c r="N27" s="27"/>
      <c r="O27" s="27"/>
      <c r="P27" s="27"/>
      <c r="Q27" s="27"/>
      <c r="R27" s="24" t="e">
        <f t="shared" si="3"/>
        <v>#DIV/0!</v>
      </c>
      <c r="S27" s="15"/>
    </row>
    <row r="28" spans="1:19" ht="76.5" x14ac:dyDescent="0.25">
      <c r="A28" s="75"/>
      <c r="B28" s="28"/>
      <c r="C28" s="28"/>
      <c r="D28" s="4" t="s">
        <v>689</v>
      </c>
      <c r="E28" s="4" t="s">
        <v>1316</v>
      </c>
      <c r="F28" s="4" t="s">
        <v>1317</v>
      </c>
      <c r="G28" s="4" t="s">
        <v>81</v>
      </c>
      <c r="H28" s="28"/>
      <c r="I28" s="27"/>
      <c r="J28" s="27"/>
      <c r="K28" s="27"/>
      <c r="L28" s="27"/>
      <c r="M28" s="24" t="e">
        <f t="shared" si="2"/>
        <v>#DIV/0!</v>
      </c>
      <c r="N28" s="27"/>
      <c r="O28" s="27"/>
      <c r="P28" s="27"/>
      <c r="Q28" s="27"/>
      <c r="R28" s="24" t="e">
        <f t="shared" si="3"/>
        <v>#DIV/0!</v>
      </c>
      <c r="S28" s="15"/>
    </row>
    <row r="29" spans="1:19" ht="15" x14ac:dyDescent="0.25">
      <c r="A29" s="75"/>
      <c r="B29" s="28"/>
      <c r="C29" s="28"/>
      <c r="D29" s="9" t="s">
        <v>1318</v>
      </c>
      <c r="E29" s="4" t="s">
        <v>1319</v>
      </c>
      <c r="F29" s="5" t="s">
        <v>1320</v>
      </c>
      <c r="G29" s="5" t="s">
        <v>1321</v>
      </c>
      <c r="H29" s="28"/>
      <c r="I29" s="27"/>
      <c r="J29" s="27"/>
      <c r="K29" s="27"/>
      <c r="L29" s="27"/>
      <c r="M29" s="24" t="e">
        <f t="shared" si="2"/>
        <v>#DIV/0!</v>
      </c>
      <c r="N29" s="27"/>
      <c r="O29" s="27"/>
      <c r="P29" s="27"/>
      <c r="Q29" s="27"/>
      <c r="R29" s="24" t="e">
        <f t="shared" si="3"/>
        <v>#DIV/0!</v>
      </c>
      <c r="S29" s="15"/>
    </row>
    <row r="30" spans="1:19" ht="38.25" x14ac:dyDescent="0.25">
      <c r="A30" s="75"/>
      <c r="B30" s="28"/>
      <c r="C30" s="28"/>
      <c r="D30" s="9" t="s">
        <v>690</v>
      </c>
      <c r="E30" s="4" t="s">
        <v>1322</v>
      </c>
      <c r="F30" s="4" t="s">
        <v>1323</v>
      </c>
      <c r="G30" s="4" t="s">
        <v>1324</v>
      </c>
      <c r="H30" s="28"/>
      <c r="I30" s="27"/>
      <c r="J30" s="27"/>
      <c r="K30" s="27"/>
      <c r="L30" s="27"/>
      <c r="M30" s="24" t="e">
        <f t="shared" si="2"/>
        <v>#DIV/0!</v>
      </c>
      <c r="N30" s="27"/>
      <c r="O30" s="27"/>
      <c r="P30" s="27"/>
      <c r="Q30" s="27"/>
      <c r="R30" s="24" t="e">
        <f t="shared" si="3"/>
        <v>#DIV/0!</v>
      </c>
      <c r="S30" s="15"/>
    </row>
    <row r="31" spans="1:19" ht="38.25" x14ac:dyDescent="0.25">
      <c r="A31" s="75"/>
      <c r="B31" s="28"/>
      <c r="C31" s="28"/>
      <c r="D31" s="9" t="s">
        <v>691</v>
      </c>
      <c r="E31" s="4" t="s">
        <v>1325</v>
      </c>
      <c r="F31" s="4" t="s">
        <v>1326</v>
      </c>
      <c r="G31" s="4" t="s">
        <v>1327</v>
      </c>
      <c r="H31" s="28"/>
      <c r="I31" s="27"/>
      <c r="J31" s="27"/>
      <c r="K31" s="27"/>
      <c r="L31" s="27"/>
      <c r="M31" s="24" t="e">
        <f t="shared" si="2"/>
        <v>#DIV/0!</v>
      </c>
      <c r="N31" s="27"/>
      <c r="O31" s="27"/>
      <c r="P31" s="27"/>
      <c r="Q31" s="27"/>
      <c r="R31" s="24" t="e">
        <f t="shared" si="3"/>
        <v>#DIV/0!</v>
      </c>
      <c r="S31" s="15"/>
    </row>
    <row r="32" spans="1:19" ht="15" x14ac:dyDescent="0.25">
      <c r="A32" s="55" t="s">
        <v>6</v>
      </c>
      <c r="B32" s="55"/>
      <c r="C32" s="55"/>
      <c r="D32" s="55"/>
      <c r="E32" s="55"/>
      <c r="F32" s="55"/>
      <c r="G32" s="55"/>
      <c r="H32"/>
      <c r="I32"/>
      <c r="J32"/>
      <c r="K32"/>
      <c r="L32"/>
      <c r="M32"/>
      <c r="N32"/>
      <c r="O32"/>
      <c r="P32"/>
      <c r="Q32"/>
      <c r="R32"/>
      <c r="S32"/>
    </row>
    <row r="33" spans="1:19" ht="15" x14ac:dyDescent="0.25">
      <c r="A33" s="7"/>
      <c r="B33" s="7"/>
      <c r="C33" s="7"/>
      <c r="H33"/>
      <c r="I33"/>
      <c r="J33"/>
      <c r="K33"/>
      <c r="L33"/>
      <c r="M33"/>
      <c r="N33"/>
      <c r="O33"/>
      <c r="P33"/>
      <c r="Q33"/>
      <c r="R33"/>
      <c r="S33"/>
    </row>
    <row r="34" spans="1:19" ht="15" x14ac:dyDescent="0.25">
      <c r="A34" s="7"/>
      <c r="B34" s="7"/>
      <c r="C34" s="7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7"/>
      <c r="B35" s="7"/>
      <c r="C35" s="7"/>
      <c r="H35" s="7"/>
    </row>
    <row r="36" spans="1:19" x14ac:dyDescent="0.25">
      <c r="A36" s="7"/>
      <c r="B36" s="7"/>
      <c r="C36" s="7"/>
    </row>
    <row r="37" spans="1:19" x14ac:dyDescent="0.25">
      <c r="A37" s="7"/>
      <c r="B37" s="7"/>
      <c r="C37" s="7"/>
    </row>
    <row r="38" spans="1:19" x14ac:dyDescent="0.25">
      <c r="A38" s="7"/>
      <c r="B38" s="7"/>
      <c r="C38" s="7"/>
    </row>
    <row r="39" spans="1:19" ht="25.5" x14ac:dyDescent="0.25">
      <c r="A39" s="72" t="s">
        <v>80</v>
      </c>
      <c r="B39" s="72"/>
      <c r="C39" s="72"/>
      <c r="D39" s="72"/>
      <c r="E39" s="72"/>
      <c r="F39" s="72"/>
      <c r="G39" s="72"/>
      <c r="H39" s="72">
        <v>2025</v>
      </c>
      <c r="I39" s="25" t="s">
        <v>1435</v>
      </c>
      <c r="J39" s="25" t="s">
        <v>1440</v>
      </c>
      <c r="K39" s="25" t="s">
        <v>1441</v>
      </c>
      <c r="L39" s="25" t="s">
        <v>1442</v>
      </c>
      <c r="M39" s="25" t="s">
        <v>1444</v>
      </c>
      <c r="N39" s="25" t="s">
        <v>1435</v>
      </c>
      <c r="O39" s="25" t="s">
        <v>1440</v>
      </c>
      <c r="P39" s="25" t="s">
        <v>1441</v>
      </c>
      <c r="Q39" s="25" t="s">
        <v>1442</v>
      </c>
      <c r="R39" s="25" t="s">
        <v>1445</v>
      </c>
      <c r="S39" s="54" t="s">
        <v>1447</v>
      </c>
    </row>
    <row r="40" spans="1:19" ht="15" customHeight="1" x14ac:dyDescent="0.25">
      <c r="A40" s="93" t="s">
        <v>9</v>
      </c>
      <c r="B40" s="93"/>
      <c r="C40" s="93"/>
      <c r="D40" s="93"/>
      <c r="E40" s="93"/>
      <c r="F40" s="93"/>
      <c r="G40" s="93"/>
      <c r="H40" s="72"/>
      <c r="I40" s="73" t="s">
        <v>1436</v>
      </c>
      <c r="J40" s="73" t="s">
        <v>1437</v>
      </c>
      <c r="K40" s="73" t="s">
        <v>1438</v>
      </c>
      <c r="L40" s="73" t="s">
        <v>1439</v>
      </c>
      <c r="M40" s="73" t="s">
        <v>55</v>
      </c>
      <c r="N40" s="73" t="s">
        <v>1436</v>
      </c>
      <c r="O40" s="73" t="s">
        <v>1437</v>
      </c>
      <c r="P40" s="73" t="s">
        <v>1438</v>
      </c>
      <c r="Q40" s="73" t="s">
        <v>1439</v>
      </c>
      <c r="R40" s="73" t="s">
        <v>55</v>
      </c>
      <c r="S40" s="54"/>
    </row>
    <row r="41" spans="1:19" x14ac:dyDescent="0.25">
      <c r="A41" s="93"/>
      <c r="B41" s="93"/>
      <c r="C41" s="93"/>
      <c r="D41" s="93"/>
      <c r="E41" s="93"/>
      <c r="F41" s="93"/>
      <c r="G41" s="93"/>
      <c r="H41" s="72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54"/>
    </row>
    <row r="42" spans="1:19" ht="25.5" x14ac:dyDescent="0.25">
      <c r="A42" s="23" t="s">
        <v>1</v>
      </c>
      <c r="B42" s="29" t="s">
        <v>1428</v>
      </c>
      <c r="C42" s="29" t="s">
        <v>1446</v>
      </c>
      <c r="D42" s="23" t="s">
        <v>2</v>
      </c>
      <c r="E42" s="23" t="s">
        <v>3</v>
      </c>
      <c r="F42" s="23" t="s">
        <v>4</v>
      </c>
      <c r="G42" s="23" t="s">
        <v>5</v>
      </c>
      <c r="H42" s="23" t="s">
        <v>1433</v>
      </c>
      <c r="I42" s="23" t="s">
        <v>1434</v>
      </c>
      <c r="J42" s="23" t="s">
        <v>1434</v>
      </c>
      <c r="K42" s="23" t="s">
        <v>1434</v>
      </c>
      <c r="L42" s="23" t="s">
        <v>1434</v>
      </c>
      <c r="M42" s="23" t="s">
        <v>1443</v>
      </c>
      <c r="N42" s="23" t="s">
        <v>1448</v>
      </c>
      <c r="O42" s="23" t="s">
        <v>1448</v>
      </c>
      <c r="P42" s="23" t="s">
        <v>1448</v>
      </c>
      <c r="Q42" s="23" t="s">
        <v>1448</v>
      </c>
      <c r="R42" s="23" t="s">
        <v>1449</v>
      </c>
      <c r="S42" s="54"/>
    </row>
    <row r="43" spans="1:19" ht="51" x14ac:dyDescent="0.25">
      <c r="A43" s="75" t="s">
        <v>1328</v>
      </c>
      <c r="B43" s="28"/>
      <c r="C43" s="28"/>
      <c r="D43" s="4" t="s">
        <v>1329</v>
      </c>
      <c r="E43" s="4" t="s">
        <v>1330</v>
      </c>
      <c r="F43" s="4" t="s">
        <v>1331</v>
      </c>
      <c r="G43" s="4" t="s">
        <v>1332</v>
      </c>
      <c r="H43" s="26"/>
      <c r="I43" s="27"/>
      <c r="J43" s="27"/>
      <c r="K43" s="27"/>
      <c r="L43" s="27"/>
      <c r="M43" s="24" t="e">
        <f>IF(SUM(I43:L43)=H43,SUM(I43:L43)*100%/H43,"Dato erroneo no cumple con la meta Absoluta (establecida)")</f>
        <v>#DIV/0!</v>
      </c>
      <c r="N43" s="27"/>
      <c r="O43" s="27"/>
      <c r="P43" s="27"/>
      <c r="Q43" s="27"/>
      <c r="R43" s="24" t="e">
        <f>SUM(N43:Q43)*100%/H43</f>
        <v>#DIV/0!</v>
      </c>
      <c r="S43" s="15"/>
    </row>
    <row r="44" spans="1:19" ht="38.25" x14ac:dyDescent="0.25">
      <c r="A44" s="75"/>
      <c r="B44" s="28"/>
      <c r="C44" s="28"/>
      <c r="D44" s="4" t="s">
        <v>1333</v>
      </c>
      <c r="E44" s="4" t="s">
        <v>1334</v>
      </c>
      <c r="F44" s="4" t="s">
        <v>1335</v>
      </c>
      <c r="G44" s="4" t="s">
        <v>1336</v>
      </c>
      <c r="H44" s="26"/>
      <c r="I44" s="27"/>
      <c r="J44" s="27"/>
      <c r="K44" s="27"/>
      <c r="L44" s="27"/>
      <c r="M44" s="24" t="e">
        <f t="shared" ref="M44:M48" si="4">IF(SUM(I44:L44)=H44,SUM(I44:L44)*100%/H44,"Dato erroneo no cumple con la meta Absoluta (establecida)")</f>
        <v>#DIV/0!</v>
      </c>
      <c r="N44" s="27"/>
      <c r="O44" s="27"/>
      <c r="P44" s="27"/>
      <c r="Q44" s="27"/>
      <c r="R44" s="24" t="e">
        <f t="shared" ref="R44:R48" si="5">SUM(N44:Q44)*100%/H44</f>
        <v>#DIV/0!</v>
      </c>
      <c r="S44" s="15"/>
    </row>
    <row r="45" spans="1:19" ht="51" x14ac:dyDescent="0.25">
      <c r="A45" s="75"/>
      <c r="B45" s="28"/>
      <c r="C45" s="28"/>
      <c r="D45" s="4" t="s">
        <v>1337</v>
      </c>
      <c r="E45" s="4" t="s">
        <v>1338</v>
      </c>
      <c r="F45" s="4" t="s">
        <v>1339</v>
      </c>
      <c r="G45" s="4" t="s">
        <v>1340</v>
      </c>
      <c r="H45" s="26"/>
      <c r="I45" s="27"/>
      <c r="J45" s="27"/>
      <c r="K45" s="27"/>
      <c r="L45" s="27"/>
      <c r="M45" s="24" t="e">
        <f t="shared" si="4"/>
        <v>#DIV/0!</v>
      </c>
      <c r="N45" s="27"/>
      <c r="O45" s="27"/>
      <c r="P45" s="27"/>
      <c r="Q45" s="27"/>
      <c r="R45" s="24" t="e">
        <f t="shared" si="5"/>
        <v>#DIV/0!</v>
      </c>
      <c r="S45" s="15"/>
    </row>
    <row r="46" spans="1:19" ht="38.25" x14ac:dyDescent="0.25">
      <c r="A46" s="75"/>
      <c r="B46" s="28"/>
      <c r="C46" s="28"/>
      <c r="D46" s="30" t="s">
        <v>1341</v>
      </c>
      <c r="E46" s="31" t="s">
        <v>1342</v>
      </c>
      <c r="F46" s="31" t="s">
        <v>1450</v>
      </c>
      <c r="G46" s="31" t="s">
        <v>1451</v>
      </c>
      <c r="H46" s="26"/>
      <c r="I46" s="27"/>
      <c r="J46" s="27"/>
      <c r="K46" s="27"/>
      <c r="L46" s="27"/>
      <c r="M46" s="24" t="e">
        <f t="shared" si="4"/>
        <v>#DIV/0!</v>
      </c>
      <c r="N46" s="27"/>
      <c r="O46" s="27"/>
      <c r="P46" s="27"/>
      <c r="Q46" s="27"/>
      <c r="R46" s="24" t="e">
        <f t="shared" si="5"/>
        <v>#DIV/0!</v>
      </c>
      <c r="S46" s="15"/>
    </row>
    <row r="47" spans="1:19" ht="38.25" x14ac:dyDescent="0.25">
      <c r="A47" s="75"/>
      <c r="B47" s="28"/>
      <c r="C47" s="28"/>
      <c r="D47" s="9" t="s">
        <v>1343</v>
      </c>
      <c r="E47" s="4" t="s">
        <v>1344</v>
      </c>
      <c r="F47" s="4" t="s">
        <v>1345</v>
      </c>
      <c r="G47" s="4" t="s">
        <v>1346</v>
      </c>
      <c r="H47" s="26"/>
      <c r="I47" s="27"/>
      <c r="J47" s="27"/>
      <c r="K47" s="27"/>
      <c r="L47" s="27"/>
      <c r="M47" s="24" t="e">
        <f t="shared" si="4"/>
        <v>#DIV/0!</v>
      </c>
      <c r="N47" s="27"/>
      <c r="O47" s="27"/>
      <c r="P47" s="27"/>
      <c r="Q47" s="27"/>
      <c r="R47" s="24" t="e">
        <f t="shared" si="5"/>
        <v>#DIV/0!</v>
      </c>
      <c r="S47" s="15"/>
    </row>
    <row r="48" spans="1:19" ht="25.5" x14ac:dyDescent="0.25">
      <c r="A48" s="75"/>
      <c r="B48" s="28"/>
      <c r="C48" s="28"/>
      <c r="D48" s="9" t="s">
        <v>1347</v>
      </c>
      <c r="E48" s="4" t="s">
        <v>1348</v>
      </c>
      <c r="F48" s="4" t="s">
        <v>1349</v>
      </c>
      <c r="G48" s="4" t="s">
        <v>1350</v>
      </c>
      <c r="H48" s="26"/>
      <c r="I48" s="27"/>
      <c r="J48" s="27"/>
      <c r="K48" s="27"/>
      <c r="L48" s="27"/>
      <c r="M48" s="24" t="e">
        <f t="shared" si="4"/>
        <v>#DIV/0!</v>
      </c>
      <c r="N48" s="27"/>
      <c r="O48" s="27"/>
      <c r="P48" s="27"/>
      <c r="Q48" s="27"/>
      <c r="R48" s="24" t="e">
        <f t="shared" si="5"/>
        <v>#DIV/0!</v>
      </c>
      <c r="S48" s="15"/>
    </row>
    <row r="49" spans="1:19" ht="15" x14ac:dyDescent="0.25">
      <c r="A49" s="90" t="s">
        <v>6</v>
      </c>
      <c r="B49" s="90"/>
      <c r="C49" s="90"/>
      <c r="D49" s="90"/>
      <c r="E49" s="90"/>
      <c r="F49" s="90"/>
      <c r="G49" s="90"/>
      <c r="H49"/>
      <c r="I49"/>
      <c r="J49"/>
      <c r="K49"/>
      <c r="L49"/>
      <c r="M49"/>
      <c r="N49"/>
      <c r="O49"/>
      <c r="P49"/>
      <c r="Q49"/>
      <c r="R49"/>
    </row>
    <row r="50" spans="1:19" ht="15" x14ac:dyDescent="0.25">
      <c r="A50" s="8"/>
      <c r="B50" s="8"/>
      <c r="C50" s="8"/>
      <c r="D50" s="8"/>
      <c r="E50" s="8"/>
      <c r="F50" s="8"/>
      <c r="G50" s="8"/>
      <c r="H50"/>
      <c r="I50"/>
      <c r="J50"/>
      <c r="K50"/>
      <c r="L50"/>
      <c r="M50"/>
      <c r="N50"/>
      <c r="O50"/>
      <c r="P50"/>
      <c r="Q50"/>
      <c r="R50"/>
    </row>
    <row r="51" spans="1:19" ht="15" x14ac:dyDescent="0.25">
      <c r="A51" s="8"/>
      <c r="B51" s="8"/>
      <c r="C51" s="8"/>
      <c r="D51" s="8"/>
      <c r="E51" s="8"/>
      <c r="F51" s="8"/>
      <c r="G51" s="8"/>
      <c r="H51"/>
      <c r="I51"/>
      <c r="J51"/>
      <c r="K51"/>
      <c r="L51"/>
      <c r="M51"/>
      <c r="N51"/>
      <c r="O51"/>
      <c r="P51"/>
      <c r="Q51"/>
      <c r="R51"/>
    </row>
    <row r="52" spans="1:19" x14ac:dyDescent="0.25">
      <c r="A52" s="8"/>
      <c r="B52" s="8"/>
      <c r="C52" s="8"/>
      <c r="D52" s="8"/>
      <c r="E52" s="8"/>
      <c r="F52" s="8"/>
      <c r="G52" s="8"/>
      <c r="H52" s="7"/>
    </row>
    <row r="53" spans="1:19" x14ac:dyDescent="0.25">
      <c r="A53" s="8"/>
      <c r="B53" s="8"/>
      <c r="C53" s="8"/>
      <c r="D53" s="8"/>
      <c r="E53" s="8"/>
      <c r="F53" s="8"/>
      <c r="G53" s="8"/>
      <c r="H53" s="7"/>
    </row>
    <row r="54" spans="1:19" x14ac:dyDescent="0.25">
      <c r="A54" s="8"/>
      <c r="B54" s="8"/>
      <c r="C54" s="8"/>
      <c r="D54" s="8"/>
      <c r="E54" s="8"/>
      <c r="F54" s="8"/>
      <c r="G54" s="8"/>
      <c r="H54" s="8"/>
    </row>
    <row r="55" spans="1:19" x14ac:dyDescent="0.25">
      <c r="A55" s="8"/>
      <c r="B55" s="8"/>
      <c r="C55" s="8"/>
      <c r="D55" s="8"/>
      <c r="E55" s="8"/>
      <c r="F55" s="8"/>
      <c r="G55" s="8"/>
      <c r="H55" s="8"/>
    </row>
    <row r="56" spans="1:19" x14ac:dyDescent="0.25">
      <c r="A56" s="8"/>
      <c r="B56" s="8"/>
      <c r="C56" s="8"/>
      <c r="D56" s="8"/>
      <c r="E56" s="8"/>
      <c r="F56" s="8"/>
      <c r="G56" s="8"/>
      <c r="H56" s="8"/>
    </row>
    <row r="57" spans="1:19" ht="25.5" x14ac:dyDescent="0.25">
      <c r="A57" s="72" t="s">
        <v>80</v>
      </c>
      <c r="B57" s="72"/>
      <c r="C57" s="72"/>
      <c r="D57" s="72"/>
      <c r="E57" s="72"/>
      <c r="F57" s="72"/>
      <c r="G57" s="72"/>
      <c r="H57" s="72">
        <v>2025</v>
      </c>
      <c r="I57" s="25" t="s">
        <v>1435</v>
      </c>
      <c r="J57" s="25" t="s">
        <v>1440</v>
      </c>
      <c r="K57" s="25" t="s">
        <v>1441</v>
      </c>
      <c r="L57" s="25" t="s">
        <v>1442</v>
      </c>
      <c r="M57" s="25" t="s">
        <v>1444</v>
      </c>
      <c r="N57" s="25" t="s">
        <v>1435</v>
      </c>
      <c r="O57" s="25" t="s">
        <v>1440</v>
      </c>
      <c r="P57" s="25" t="s">
        <v>1441</v>
      </c>
      <c r="Q57" s="25" t="s">
        <v>1442</v>
      </c>
      <c r="R57" s="25" t="s">
        <v>1445</v>
      </c>
      <c r="S57" s="54" t="s">
        <v>1447</v>
      </c>
    </row>
    <row r="58" spans="1:19" ht="15" customHeight="1" x14ac:dyDescent="0.25">
      <c r="A58" s="80" t="s">
        <v>10</v>
      </c>
      <c r="B58" s="80"/>
      <c r="C58" s="80"/>
      <c r="D58" s="80"/>
      <c r="E58" s="80"/>
      <c r="F58" s="80"/>
      <c r="G58" s="81"/>
      <c r="H58" s="72"/>
      <c r="I58" s="73" t="s">
        <v>1436</v>
      </c>
      <c r="J58" s="73" t="s">
        <v>1437</v>
      </c>
      <c r="K58" s="73" t="s">
        <v>1438</v>
      </c>
      <c r="L58" s="73" t="s">
        <v>1439</v>
      </c>
      <c r="M58" s="73" t="s">
        <v>55</v>
      </c>
      <c r="N58" s="73" t="s">
        <v>1436</v>
      </c>
      <c r="O58" s="73" t="s">
        <v>1437</v>
      </c>
      <c r="P58" s="73" t="s">
        <v>1438</v>
      </c>
      <c r="Q58" s="73" t="s">
        <v>1439</v>
      </c>
      <c r="R58" s="73" t="s">
        <v>55</v>
      </c>
      <c r="S58" s="54"/>
    </row>
    <row r="59" spans="1:19" ht="12.75" customHeight="1" x14ac:dyDescent="0.25">
      <c r="A59" s="82"/>
      <c r="B59" s="82"/>
      <c r="C59" s="82"/>
      <c r="D59" s="82"/>
      <c r="E59" s="82"/>
      <c r="F59" s="82"/>
      <c r="G59" s="83"/>
      <c r="H59" s="72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54"/>
    </row>
    <row r="60" spans="1:19" ht="25.5" x14ac:dyDescent="0.25">
      <c r="A60" s="10" t="s">
        <v>1</v>
      </c>
      <c r="B60" s="29" t="s">
        <v>1428</v>
      </c>
      <c r="C60" s="29" t="s">
        <v>1446</v>
      </c>
      <c r="D60" s="10" t="s">
        <v>2</v>
      </c>
      <c r="E60" s="10" t="s">
        <v>3</v>
      </c>
      <c r="F60" s="10" t="s">
        <v>4</v>
      </c>
      <c r="G60" s="10" t="s">
        <v>5</v>
      </c>
      <c r="H60" s="23" t="s">
        <v>1433</v>
      </c>
      <c r="I60" s="23" t="s">
        <v>1434</v>
      </c>
      <c r="J60" s="23" t="s">
        <v>1434</v>
      </c>
      <c r="K60" s="23" t="s">
        <v>1434</v>
      </c>
      <c r="L60" s="23" t="s">
        <v>1434</v>
      </c>
      <c r="M60" s="23" t="s">
        <v>1443</v>
      </c>
      <c r="N60" s="23" t="s">
        <v>1448</v>
      </c>
      <c r="O60" s="23" t="s">
        <v>1448</v>
      </c>
      <c r="P60" s="23" t="s">
        <v>1448</v>
      </c>
      <c r="Q60" s="23" t="s">
        <v>1448</v>
      </c>
      <c r="R60" s="23" t="s">
        <v>1449</v>
      </c>
      <c r="S60" s="54"/>
    </row>
    <row r="61" spans="1:19" ht="51" x14ac:dyDescent="0.25">
      <c r="A61" s="84" t="s">
        <v>1351</v>
      </c>
      <c r="B61" s="28"/>
      <c r="C61" s="28"/>
      <c r="D61" s="1" t="s">
        <v>1352</v>
      </c>
      <c r="E61" s="1" t="s">
        <v>1353</v>
      </c>
      <c r="F61" s="1" t="s">
        <v>1354</v>
      </c>
      <c r="G61" s="3" t="s">
        <v>1355</v>
      </c>
      <c r="H61" s="26"/>
      <c r="I61" s="27"/>
      <c r="J61" s="27"/>
      <c r="K61" s="27"/>
      <c r="L61" s="27"/>
      <c r="M61" s="24" t="e">
        <f t="shared" ref="M61:M64" si="6">IF(SUM(I61:L61)=H61,SUM(I61:L61)*100%/H61,"Dato erroneo no cumple con la meta Absoluta (establecida)")</f>
        <v>#DIV/0!</v>
      </c>
      <c r="N61" s="27"/>
      <c r="O61" s="27"/>
      <c r="P61" s="27"/>
      <c r="Q61" s="27"/>
      <c r="R61" s="24" t="e">
        <f t="shared" ref="R61:R64" si="7">SUM(N61:Q61)*100%/H61</f>
        <v>#DIV/0!</v>
      </c>
      <c r="S61" s="15"/>
    </row>
    <row r="62" spans="1:19" ht="38.25" x14ac:dyDescent="0.25">
      <c r="A62" s="85"/>
      <c r="B62" s="28"/>
      <c r="C62" s="28"/>
      <c r="D62" s="1" t="s">
        <v>1356</v>
      </c>
      <c r="E62" s="1" t="s">
        <v>1342</v>
      </c>
      <c r="F62" s="1" t="s">
        <v>1357</v>
      </c>
      <c r="G62" s="3" t="s">
        <v>1358</v>
      </c>
      <c r="H62" s="26"/>
      <c r="I62" s="27"/>
      <c r="J62" s="27"/>
      <c r="K62" s="27"/>
      <c r="L62" s="27"/>
      <c r="M62" s="24" t="e">
        <f t="shared" si="6"/>
        <v>#DIV/0!</v>
      </c>
      <c r="N62" s="27"/>
      <c r="O62" s="27"/>
      <c r="P62" s="27"/>
      <c r="Q62" s="27"/>
      <c r="R62" s="24" t="e">
        <f t="shared" si="7"/>
        <v>#DIV/0!</v>
      </c>
      <c r="S62" s="15"/>
    </row>
    <row r="63" spans="1:19" ht="38.25" x14ac:dyDescent="0.25">
      <c r="A63" s="85"/>
      <c r="B63" s="28"/>
      <c r="C63" s="28"/>
      <c r="D63" s="1" t="s">
        <v>1359</v>
      </c>
      <c r="E63" s="1" t="s">
        <v>1360</v>
      </c>
      <c r="F63" s="1" t="s">
        <v>1361</v>
      </c>
      <c r="G63" s="3" t="s">
        <v>1362</v>
      </c>
      <c r="H63" s="26"/>
      <c r="I63" s="27"/>
      <c r="J63" s="27"/>
      <c r="K63" s="27"/>
      <c r="L63" s="27"/>
      <c r="M63" s="24" t="e">
        <f t="shared" si="6"/>
        <v>#DIV/0!</v>
      </c>
      <c r="N63" s="27"/>
      <c r="O63" s="27"/>
      <c r="P63" s="27"/>
      <c r="Q63" s="27"/>
      <c r="R63" s="24" t="e">
        <f t="shared" si="7"/>
        <v>#DIV/0!</v>
      </c>
      <c r="S63" s="15"/>
    </row>
    <row r="64" spans="1:19" ht="51" x14ac:dyDescent="0.25">
      <c r="A64" s="85"/>
      <c r="B64" s="28"/>
      <c r="C64" s="28"/>
      <c r="D64" s="1" t="s">
        <v>1363</v>
      </c>
      <c r="E64" s="1" t="s">
        <v>1364</v>
      </c>
      <c r="F64" s="1" t="s">
        <v>1365</v>
      </c>
      <c r="G64" s="3" t="s">
        <v>1366</v>
      </c>
      <c r="H64" s="26"/>
      <c r="I64" s="27"/>
      <c r="J64" s="27"/>
      <c r="K64" s="27"/>
      <c r="L64" s="27"/>
      <c r="M64" s="24" t="e">
        <f t="shared" si="6"/>
        <v>#DIV/0!</v>
      </c>
      <c r="N64" s="27"/>
      <c r="O64" s="27"/>
      <c r="P64" s="27"/>
      <c r="Q64" s="27"/>
      <c r="R64" s="24" t="e">
        <f t="shared" si="7"/>
        <v>#DIV/0!</v>
      </c>
      <c r="S64" s="15"/>
    </row>
    <row r="65" spans="1:19" ht="38.25" x14ac:dyDescent="0.25">
      <c r="A65" s="86"/>
      <c r="B65" s="28"/>
      <c r="C65" s="28"/>
      <c r="D65" s="1" t="s">
        <v>1367</v>
      </c>
      <c r="E65" s="1" t="s">
        <v>1368</v>
      </c>
      <c r="F65" s="1" t="s">
        <v>1369</v>
      </c>
      <c r="G65" s="3" t="s">
        <v>1370</v>
      </c>
      <c r="H65" s="26"/>
      <c r="I65" s="27"/>
      <c r="J65" s="27"/>
      <c r="K65" s="27"/>
      <c r="L65" s="27"/>
      <c r="M65" s="24" t="e">
        <f t="shared" ref="M65" si="8">IF(SUM(I65:L65)=H65,SUM(I65:L65)*100%/H65,"Dato erroneo no cumple con la meta Absoluta (establecida)")</f>
        <v>#DIV/0!</v>
      </c>
      <c r="N65" s="27"/>
      <c r="O65" s="27"/>
      <c r="P65" s="27"/>
      <c r="Q65" s="27"/>
      <c r="R65" s="24" t="e">
        <f t="shared" ref="R65" si="9">SUM(N65:Q65)*100%/H65</f>
        <v>#DIV/0!</v>
      </c>
      <c r="S65" s="15"/>
    </row>
    <row r="66" spans="1:19" ht="12.75" customHeight="1" x14ac:dyDescent="0.25">
      <c r="A66" s="91" t="s">
        <v>11</v>
      </c>
      <c r="B66" s="91"/>
      <c r="C66" s="91"/>
      <c r="D66" s="91"/>
      <c r="E66" s="91"/>
      <c r="F66" s="91"/>
      <c r="G66" s="91"/>
      <c r="H66"/>
      <c r="I66"/>
      <c r="J66"/>
      <c r="K66"/>
      <c r="L66"/>
      <c r="M66"/>
      <c r="N66"/>
      <c r="O66"/>
      <c r="P66"/>
      <c r="Q66"/>
      <c r="R66"/>
      <c r="S66"/>
    </row>
    <row r="67" spans="1:19" ht="15" x14ac:dyDescent="0.25">
      <c r="A67" s="7"/>
      <c r="B67" s="7"/>
      <c r="C67" s="7"/>
      <c r="D67" s="7"/>
      <c r="E67" s="7"/>
      <c r="F67" s="7"/>
      <c r="G67" s="7"/>
      <c r="H67"/>
      <c r="I67"/>
      <c r="J67"/>
      <c r="K67"/>
      <c r="L67"/>
      <c r="M67"/>
      <c r="N67"/>
      <c r="O67"/>
      <c r="P67"/>
      <c r="Q67"/>
      <c r="R67"/>
      <c r="S67"/>
    </row>
    <row r="68" spans="1:19" ht="15" x14ac:dyDescent="0.25">
      <c r="A68" s="7"/>
      <c r="B68" s="7"/>
      <c r="C68" s="7"/>
      <c r="D68" s="7"/>
      <c r="E68" s="7"/>
      <c r="F68" s="7"/>
      <c r="G68" s="7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7"/>
      <c r="B69" s="7"/>
      <c r="C69" s="7"/>
      <c r="D69" s="7"/>
      <c r="E69" s="7"/>
      <c r="F69" s="7"/>
      <c r="G69" s="7"/>
      <c r="H69" s="7"/>
    </row>
    <row r="70" spans="1:19" x14ac:dyDescent="0.25">
      <c r="A70" s="7"/>
      <c r="B70" s="7"/>
      <c r="C70" s="7"/>
      <c r="D70" s="7"/>
      <c r="E70" s="7"/>
      <c r="F70" s="7"/>
      <c r="G70" s="7"/>
      <c r="H70" s="7"/>
    </row>
    <row r="71" spans="1:19" x14ac:dyDescent="0.25">
      <c r="A71" s="7"/>
      <c r="B71" s="7"/>
      <c r="C71" s="7"/>
      <c r="D71" s="7"/>
      <c r="E71" s="7"/>
      <c r="F71" s="7"/>
      <c r="G71" s="7"/>
      <c r="H71" s="7"/>
    </row>
    <row r="72" spans="1:19" x14ac:dyDescent="0.25">
      <c r="A72" s="7"/>
      <c r="B72" s="7"/>
      <c r="C72" s="7"/>
      <c r="D72" s="7"/>
      <c r="E72" s="7"/>
      <c r="F72" s="7"/>
      <c r="G72" s="7"/>
      <c r="H72" s="7"/>
    </row>
    <row r="73" spans="1:19" x14ac:dyDescent="0.25">
      <c r="A73" s="7"/>
      <c r="B73" s="7"/>
      <c r="C73" s="7"/>
      <c r="D73" s="7"/>
      <c r="E73" s="7"/>
      <c r="F73" s="7"/>
      <c r="G73" s="7"/>
      <c r="H73" s="7"/>
    </row>
    <row r="74" spans="1:19" ht="25.5" customHeight="1" x14ac:dyDescent="0.25">
      <c r="A74" s="72" t="s">
        <v>80</v>
      </c>
      <c r="B74" s="72"/>
      <c r="C74" s="72"/>
      <c r="D74" s="72"/>
      <c r="E74" s="72"/>
      <c r="F74" s="72"/>
      <c r="G74" s="72"/>
      <c r="H74" s="72">
        <v>2025</v>
      </c>
      <c r="I74" s="25" t="s">
        <v>1435</v>
      </c>
      <c r="J74" s="25" t="s">
        <v>1440</v>
      </c>
      <c r="K74" s="25" t="s">
        <v>1441</v>
      </c>
      <c r="L74" s="25" t="s">
        <v>1442</v>
      </c>
      <c r="M74" s="25" t="s">
        <v>1444</v>
      </c>
      <c r="N74" s="25" t="s">
        <v>1435</v>
      </c>
      <c r="O74" s="25" t="s">
        <v>1440</v>
      </c>
      <c r="P74" s="25" t="s">
        <v>1441</v>
      </c>
      <c r="Q74" s="25" t="s">
        <v>1442</v>
      </c>
      <c r="R74" s="25" t="s">
        <v>1445</v>
      </c>
      <c r="S74" s="54" t="s">
        <v>1447</v>
      </c>
    </row>
    <row r="75" spans="1:19" ht="15" customHeight="1" x14ac:dyDescent="0.25">
      <c r="A75" s="80" t="s">
        <v>12</v>
      </c>
      <c r="B75" s="80"/>
      <c r="C75" s="80"/>
      <c r="D75" s="80"/>
      <c r="E75" s="80"/>
      <c r="F75" s="80"/>
      <c r="G75" s="81"/>
      <c r="H75" s="72"/>
      <c r="I75" s="73" t="s">
        <v>1436</v>
      </c>
      <c r="J75" s="73" t="s">
        <v>1437</v>
      </c>
      <c r="K75" s="73" t="s">
        <v>1438</v>
      </c>
      <c r="L75" s="73" t="s">
        <v>1439</v>
      </c>
      <c r="M75" s="73" t="s">
        <v>55</v>
      </c>
      <c r="N75" s="73" t="s">
        <v>1436</v>
      </c>
      <c r="O75" s="73" t="s">
        <v>1437</v>
      </c>
      <c r="P75" s="73" t="s">
        <v>1438</v>
      </c>
      <c r="Q75" s="73" t="s">
        <v>1439</v>
      </c>
      <c r="R75" s="73" t="s">
        <v>55</v>
      </c>
      <c r="S75" s="54"/>
    </row>
    <row r="76" spans="1:19" ht="12.75" customHeight="1" x14ac:dyDescent="0.25">
      <c r="A76" s="82"/>
      <c r="B76" s="82"/>
      <c r="C76" s="82"/>
      <c r="D76" s="82"/>
      <c r="E76" s="82"/>
      <c r="F76" s="82"/>
      <c r="G76" s="83"/>
      <c r="H76" s="72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54"/>
    </row>
    <row r="77" spans="1:19" ht="12.75" customHeight="1" x14ac:dyDescent="0.25">
      <c r="A77" s="10" t="s">
        <v>1</v>
      </c>
      <c r="B77" s="10" t="s">
        <v>1428</v>
      </c>
      <c r="C77" s="10"/>
      <c r="D77" s="10" t="s">
        <v>2</v>
      </c>
      <c r="E77" s="10" t="s">
        <v>3</v>
      </c>
      <c r="F77" s="10" t="s">
        <v>4</v>
      </c>
      <c r="G77" s="10" t="s">
        <v>5</v>
      </c>
      <c r="H77" s="23" t="s">
        <v>1433</v>
      </c>
      <c r="I77" s="23" t="s">
        <v>1434</v>
      </c>
      <c r="J77" s="23" t="s">
        <v>1434</v>
      </c>
      <c r="K77" s="23" t="s">
        <v>1434</v>
      </c>
      <c r="L77" s="23" t="s">
        <v>1434</v>
      </c>
      <c r="M77" s="23" t="s">
        <v>1443</v>
      </c>
      <c r="N77" s="23" t="s">
        <v>1448</v>
      </c>
      <c r="O77" s="23" t="s">
        <v>1448</v>
      </c>
      <c r="P77" s="23" t="s">
        <v>1448</v>
      </c>
      <c r="Q77" s="23" t="s">
        <v>1448</v>
      </c>
      <c r="R77" s="23" t="s">
        <v>1449</v>
      </c>
      <c r="S77" s="54"/>
    </row>
    <row r="78" spans="1:19" ht="51" x14ac:dyDescent="0.25">
      <c r="A78" s="84" t="s">
        <v>1371</v>
      </c>
      <c r="B78" s="28"/>
      <c r="C78" s="28"/>
      <c r="D78" s="1" t="s">
        <v>1372</v>
      </c>
      <c r="E78" s="1" t="s">
        <v>1373</v>
      </c>
      <c r="F78" s="1" t="s">
        <v>1374</v>
      </c>
      <c r="G78" s="3" t="s">
        <v>1375</v>
      </c>
      <c r="H78" s="26"/>
      <c r="I78" s="27"/>
      <c r="J78" s="27"/>
      <c r="K78" s="27"/>
      <c r="L78" s="27"/>
      <c r="M78" s="24" t="e">
        <f t="shared" ref="M78" si="10">IF(SUM(I78:L78)=H78,SUM(I78:L78)*100%/H78,"Dato erroneo no cumple con la meta Absoluta (establecida)")</f>
        <v>#DIV/0!</v>
      </c>
      <c r="N78" s="27"/>
      <c r="O78" s="27"/>
      <c r="P78" s="27"/>
      <c r="Q78" s="27"/>
      <c r="R78" s="24" t="e">
        <f t="shared" ref="R78" si="11">SUM(N78:Q78)*100%/H78</f>
        <v>#DIV/0!</v>
      </c>
      <c r="S78" s="15"/>
    </row>
    <row r="79" spans="1:19" ht="51" x14ac:dyDescent="0.25">
      <c r="A79" s="85"/>
      <c r="B79" s="28"/>
      <c r="C79" s="28"/>
      <c r="D79" s="1" t="s">
        <v>1376</v>
      </c>
      <c r="E79" s="1" t="s">
        <v>1377</v>
      </c>
      <c r="F79" s="1" t="s">
        <v>1378</v>
      </c>
      <c r="G79" s="3" t="s">
        <v>1379</v>
      </c>
      <c r="H79" s="26"/>
      <c r="I79" s="27"/>
      <c r="J79" s="27"/>
      <c r="K79" s="27"/>
      <c r="L79" s="27"/>
      <c r="M79" s="24" t="e">
        <f t="shared" ref="M79:M80" si="12">IF(SUM(I79:L79)=H79,SUM(I79:L79)*100%/H79,"Dato erroneo no cumple con la meta Absoluta (establecida)")</f>
        <v>#DIV/0!</v>
      </c>
      <c r="N79" s="27"/>
      <c r="O79" s="27"/>
      <c r="P79" s="27"/>
      <c r="Q79" s="27"/>
      <c r="R79" s="24" t="e">
        <f t="shared" ref="R79:R80" si="13">SUM(N79:Q79)*100%/H79</f>
        <v>#DIV/0!</v>
      </c>
      <c r="S79" s="15"/>
    </row>
    <row r="80" spans="1:19" ht="38.25" x14ac:dyDescent="0.25">
      <c r="A80" s="85"/>
      <c r="B80" s="28"/>
      <c r="C80" s="28"/>
      <c r="D80" s="1" t="s">
        <v>1380</v>
      </c>
      <c r="E80" s="1" t="s">
        <v>1381</v>
      </c>
      <c r="F80" s="1" t="s">
        <v>1382</v>
      </c>
      <c r="G80" s="3" t="s">
        <v>1383</v>
      </c>
      <c r="H80" s="26"/>
      <c r="I80" s="27"/>
      <c r="J80" s="27"/>
      <c r="K80" s="27"/>
      <c r="L80" s="27"/>
      <c r="M80" s="24" t="e">
        <f t="shared" si="12"/>
        <v>#DIV/0!</v>
      </c>
      <c r="N80" s="27"/>
      <c r="O80" s="27"/>
      <c r="P80" s="27"/>
      <c r="Q80" s="27"/>
      <c r="R80" s="24" t="e">
        <f t="shared" si="13"/>
        <v>#DIV/0!</v>
      </c>
      <c r="S80" s="15"/>
    </row>
    <row r="81" spans="1:20" ht="38.25" x14ac:dyDescent="0.25">
      <c r="A81" s="85"/>
      <c r="B81" s="28"/>
      <c r="C81" s="28"/>
      <c r="D81" s="1" t="s">
        <v>1384</v>
      </c>
      <c r="E81" s="1" t="s">
        <v>1385</v>
      </c>
      <c r="F81" s="1" t="s">
        <v>1386</v>
      </c>
      <c r="G81" s="3" t="s">
        <v>1387</v>
      </c>
      <c r="H81" s="26"/>
      <c r="I81" s="27"/>
      <c r="J81" s="27"/>
      <c r="K81" s="27"/>
      <c r="L81" s="27"/>
      <c r="M81" s="24" t="e">
        <f t="shared" ref="M81:M82" si="14">IF(SUM(I81:L81)=H81,SUM(I81:L81)*100%/H81,"Dato erroneo no cumple con la meta Absoluta (establecida)")</f>
        <v>#DIV/0!</v>
      </c>
      <c r="N81" s="27"/>
      <c r="O81" s="27"/>
      <c r="P81" s="27"/>
      <c r="Q81" s="27"/>
      <c r="R81" s="24" t="e">
        <f t="shared" ref="R81:R82" si="15">SUM(N81:Q81)*100%/H81</f>
        <v>#DIV/0!</v>
      </c>
      <c r="S81" s="15"/>
    </row>
    <row r="82" spans="1:20" ht="38.25" x14ac:dyDescent="0.25">
      <c r="A82" s="86"/>
      <c r="B82" s="28"/>
      <c r="C82" s="28"/>
      <c r="D82" s="1" t="s">
        <v>1388</v>
      </c>
      <c r="E82" s="1" t="s">
        <v>1389</v>
      </c>
      <c r="F82" s="1" t="s">
        <v>1390</v>
      </c>
      <c r="G82" s="3" t="s">
        <v>1391</v>
      </c>
      <c r="H82" s="26"/>
      <c r="I82" s="27"/>
      <c r="J82" s="27"/>
      <c r="K82" s="27"/>
      <c r="L82" s="27"/>
      <c r="M82" s="24" t="e">
        <f t="shared" si="14"/>
        <v>#DIV/0!</v>
      </c>
      <c r="N82" s="27"/>
      <c r="O82" s="27"/>
      <c r="P82" s="27"/>
      <c r="Q82" s="27"/>
      <c r="R82" s="24" t="e">
        <f t="shared" si="15"/>
        <v>#DIV/0!</v>
      </c>
      <c r="S82" s="15"/>
    </row>
    <row r="83" spans="1:20" ht="12.75" customHeight="1" x14ac:dyDescent="0.25">
      <c r="A83" s="56" t="s">
        <v>11</v>
      </c>
      <c r="B83" s="56"/>
      <c r="C83" s="56"/>
      <c r="D83" s="56"/>
      <c r="E83" s="56"/>
      <c r="F83" s="56"/>
      <c r="G83" s="56"/>
      <c r="H83"/>
      <c r="I83"/>
      <c r="J83"/>
      <c r="K83"/>
      <c r="L83"/>
      <c r="M83"/>
      <c r="N83"/>
      <c r="O83"/>
      <c r="P83"/>
      <c r="Q83"/>
      <c r="R83"/>
      <c r="S83"/>
      <c r="T83"/>
    </row>
    <row r="84" spans="1:20" ht="15" x14ac:dyDescent="0.25">
      <c r="A84" s="7"/>
      <c r="B84" s="7"/>
      <c r="C84" s="7"/>
      <c r="D84" s="7"/>
      <c r="E84" s="7"/>
      <c r="F84" s="7"/>
      <c r="G84" s="7"/>
      <c r="H84"/>
      <c r="I84"/>
      <c r="J84"/>
      <c r="K84"/>
      <c r="L84"/>
      <c r="M84"/>
      <c r="N84"/>
      <c r="O84"/>
      <c r="P84"/>
      <c r="Q84"/>
      <c r="R84"/>
      <c r="S84"/>
      <c r="T84"/>
    </row>
    <row r="85" spans="1:20" ht="15" x14ac:dyDescent="0.25">
      <c r="A85" s="7"/>
      <c r="B85" s="7"/>
      <c r="C85" s="7"/>
      <c r="D85" s="7"/>
      <c r="E85" s="7"/>
      <c r="F85" s="7"/>
      <c r="G85" s="7"/>
      <c r="H85"/>
      <c r="I85"/>
      <c r="J85"/>
      <c r="K85"/>
      <c r="L85"/>
      <c r="M85"/>
      <c r="N85"/>
      <c r="O85"/>
      <c r="P85"/>
      <c r="Q85"/>
      <c r="R85"/>
      <c r="S85"/>
      <c r="T85"/>
    </row>
    <row r="86" spans="1:20" ht="15" x14ac:dyDescent="0.25">
      <c r="A86" s="7"/>
      <c r="B86" s="7"/>
      <c r="C86" s="7"/>
      <c r="D86" s="7"/>
      <c r="E86" s="7"/>
      <c r="F86" s="7"/>
      <c r="G86" s="7"/>
      <c r="H86"/>
      <c r="I86"/>
      <c r="J86"/>
      <c r="K86"/>
      <c r="L86"/>
      <c r="M86"/>
      <c r="N86"/>
      <c r="O86"/>
      <c r="P86"/>
      <c r="Q86"/>
      <c r="R86"/>
      <c r="S86"/>
      <c r="T86"/>
    </row>
    <row r="87" spans="1:20" x14ac:dyDescent="0.25">
      <c r="A87" s="7"/>
      <c r="B87" s="7"/>
      <c r="C87" s="7"/>
      <c r="D87" s="7"/>
      <c r="E87" s="7"/>
      <c r="F87" s="7"/>
      <c r="G87" s="7"/>
      <c r="H87" s="7"/>
    </row>
    <row r="88" spans="1:20" x14ac:dyDescent="0.25">
      <c r="A88" s="7"/>
      <c r="B88" s="7"/>
      <c r="C88" s="7"/>
      <c r="D88" s="7"/>
      <c r="E88" s="7"/>
      <c r="F88" s="7"/>
      <c r="G88" s="7"/>
      <c r="H88" s="7"/>
    </row>
    <row r="89" spans="1:20" x14ac:dyDescent="0.25">
      <c r="A89" s="7"/>
      <c r="B89" s="7"/>
      <c r="C89" s="7"/>
      <c r="D89" s="7"/>
      <c r="E89" s="7"/>
      <c r="F89" s="7"/>
      <c r="G89" s="7"/>
      <c r="H89" s="7"/>
    </row>
    <row r="90" spans="1:20" x14ac:dyDescent="0.25">
      <c r="A90" s="7"/>
      <c r="B90" s="7"/>
      <c r="C90" s="7"/>
      <c r="D90" s="7"/>
      <c r="E90" s="7"/>
      <c r="F90" s="7"/>
      <c r="G90" s="7"/>
      <c r="H90" s="7"/>
    </row>
    <row r="91" spans="1:20" x14ac:dyDescent="0.25">
      <c r="A91" s="7"/>
      <c r="B91" s="7"/>
      <c r="C91" s="7"/>
      <c r="D91" s="7"/>
      <c r="E91" s="7"/>
      <c r="F91" s="7"/>
      <c r="G91" s="7"/>
      <c r="H91" s="7"/>
    </row>
    <row r="92" spans="1:20" x14ac:dyDescent="0.25">
      <c r="A92" s="7"/>
      <c r="B92" s="7"/>
      <c r="C92" s="7"/>
      <c r="D92" s="7"/>
      <c r="E92" s="7"/>
      <c r="F92" s="7"/>
      <c r="G92" s="7"/>
      <c r="H92" s="7"/>
    </row>
    <row r="93" spans="1:20" ht="25.5" customHeight="1" x14ac:dyDescent="0.25">
      <c r="A93" s="72" t="s">
        <v>80</v>
      </c>
      <c r="B93" s="72"/>
      <c r="C93" s="72"/>
      <c r="D93" s="72"/>
      <c r="E93" s="72"/>
      <c r="F93" s="72"/>
      <c r="G93" s="72"/>
      <c r="H93" s="72">
        <v>2025</v>
      </c>
      <c r="I93" s="25" t="s">
        <v>1435</v>
      </c>
      <c r="J93" s="25" t="s">
        <v>1440</v>
      </c>
      <c r="K93" s="25" t="s">
        <v>1441</v>
      </c>
      <c r="L93" s="25" t="s">
        <v>1442</v>
      </c>
      <c r="M93" s="25" t="s">
        <v>1444</v>
      </c>
      <c r="N93" s="25" t="s">
        <v>1435</v>
      </c>
      <c r="O93" s="25" t="s">
        <v>1440</v>
      </c>
      <c r="P93" s="25" t="s">
        <v>1441</v>
      </c>
      <c r="Q93" s="25" t="s">
        <v>1442</v>
      </c>
      <c r="R93" s="25" t="s">
        <v>1445</v>
      </c>
      <c r="S93" s="54" t="s">
        <v>1447</v>
      </c>
    </row>
    <row r="94" spans="1:20" ht="15" customHeight="1" x14ac:dyDescent="0.25">
      <c r="A94" s="76" t="s">
        <v>13</v>
      </c>
      <c r="B94" s="76"/>
      <c r="C94" s="76"/>
      <c r="D94" s="76"/>
      <c r="E94" s="76"/>
      <c r="F94" s="76"/>
      <c r="G94" s="77"/>
      <c r="H94" s="72"/>
      <c r="I94" s="73" t="s">
        <v>1436</v>
      </c>
      <c r="J94" s="73" t="s">
        <v>1437</v>
      </c>
      <c r="K94" s="73" t="s">
        <v>1438</v>
      </c>
      <c r="L94" s="73" t="s">
        <v>1439</v>
      </c>
      <c r="M94" s="73" t="s">
        <v>55</v>
      </c>
      <c r="N94" s="73" t="s">
        <v>1436</v>
      </c>
      <c r="O94" s="73" t="s">
        <v>1437</v>
      </c>
      <c r="P94" s="73" t="s">
        <v>1438</v>
      </c>
      <c r="Q94" s="73" t="s">
        <v>1439</v>
      </c>
      <c r="R94" s="73" t="s">
        <v>55</v>
      </c>
      <c r="S94" s="54"/>
    </row>
    <row r="95" spans="1:20" x14ac:dyDescent="0.25">
      <c r="A95" s="78"/>
      <c r="B95" s="78"/>
      <c r="C95" s="78"/>
      <c r="D95" s="78"/>
      <c r="E95" s="78"/>
      <c r="F95" s="78"/>
      <c r="G95" s="79"/>
      <c r="H95" s="72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54"/>
    </row>
    <row r="96" spans="1:20" ht="12.75" customHeight="1" x14ac:dyDescent="0.25">
      <c r="A96" s="10" t="s">
        <v>1</v>
      </c>
      <c r="B96" s="10" t="s">
        <v>1428</v>
      </c>
      <c r="C96" s="10"/>
      <c r="D96" s="10" t="s">
        <v>2</v>
      </c>
      <c r="E96" s="10" t="s">
        <v>3</v>
      </c>
      <c r="F96" s="10" t="s">
        <v>4</v>
      </c>
      <c r="G96" s="10" t="s">
        <v>5</v>
      </c>
      <c r="H96" s="23" t="s">
        <v>1433</v>
      </c>
      <c r="I96" s="23" t="s">
        <v>1434</v>
      </c>
      <c r="J96" s="23" t="s">
        <v>1434</v>
      </c>
      <c r="K96" s="23" t="s">
        <v>1434</v>
      </c>
      <c r="L96" s="23" t="s">
        <v>1434</v>
      </c>
      <c r="M96" s="23" t="s">
        <v>1443</v>
      </c>
      <c r="N96" s="23" t="s">
        <v>1448</v>
      </c>
      <c r="O96" s="23" t="s">
        <v>1448</v>
      </c>
      <c r="P96" s="23" t="s">
        <v>1448</v>
      </c>
      <c r="Q96" s="23" t="s">
        <v>1448</v>
      </c>
      <c r="R96" s="23" t="s">
        <v>1449</v>
      </c>
      <c r="S96" s="54"/>
    </row>
    <row r="97" spans="1:19" ht="38.25" x14ac:dyDescent="0.25">
      <c r="A97" s="87" t="s">
        <v>1392</v>
      </c>
      <c r="B97" s="28"/>
      <c r="C97" s="28"/>
      <c r="D97" s="11" t="s">
        <v>1393</v>
      </c>
      <c r="E97" s="1" t="s">
        <v>1394</v>
      </c>
      <c r="F97" s="1" t="s">
        <v>1395</v>
      </c>
      <c r="G97" s="3" t="s">
        <v>1396</v>
      </c>
      <c r="H97" s="26"/>
      <c r="I97" s="27"/>
      <c r="J97" s="27"/>
      <c r="K97" s="27"/>
      <c r="L97" s="27"/>
      <c r="M97" s="24" t="e">
        <f t="shared" ref="M97" si="16">IF(SUM(I97:L97)=H97,SUM(I97:L97)*100%/H97,"Dato erroneo no cumple con la meta Absoluta (establecida)")</f>
        <v>#DIV/0!</v>
      </c>
      <c r="N97" s="27"/>
      <c r="O97" s="27"/>
      <c r="P97" s="27"/>
      <c r="Q97" s="27"/>
      <c r="R97" s="24" t="e">
        <f t="shared" ref="R97" si="17">SUM(N97:Q97)*100%/H97</f>
        <v>#DIV/0!</v>
      </c>
      <c r="S97" s="15"/>
    </row>
    <row r="98" spans="1:19" ht="38.25" x14ac:dyDescent="0.25">
      <c r="A98" s="88"/>
      <c r="B98" s="28"/>
      <c r="C98" s="28"/>
      <c r="D98" s="11" t="s">
        <v>1397</v>
      </c>
      <c r="E98" s="1" t="s">
        <v>1398</v>
      </c>
      <c r="F98" s="1" t="s">
        <v>1399</v>
      </c>
      <c r="G98" s="3" t="s">
        <v>1400</v>
      </c>
      <c r="H98" s="26"/>
      <c r="I98" s="27"/>
      <c r="J98" s="27"/>
      <c r="K98" s="27"/>
      <c r="L98" s="27"/>
      <c r="M98" s="24" t="e">
        <f t="shared" ref="M98:M100" si="18">IF(SUM(I98:L98)=H98,SUM(I98:L98)*100%/H98,"Dato erroneo no cumple con la meta Absoluta (establecida)")</f>
        <v>#DIV/0!</v>
      </c>
      <c r="N98" s="27"/>
      <c r="O98" s="27"/>
      <c r="P98" s="27"/>
      <c r="Q98" s="27"/>
      <c r="R98" s="24" t="e">
        <f t="shared" ref="R98:R100" si="19">SUM(N98:Q98)*100%/H98</f>
        <v>#DIV/0!</v>
      </c>
      <c r="S98" s="15"/>
    </row>
    <row r="99" spans="1:19" ht="51" x14ac:dyDescent="0.25">
      <c r="A99" s="88"/>
      <c r="B99" s="28"/>
      <c r="C99" s="28"/>
      <c r="D99" s="11" t="s">
        <v>1401</v>
      </c>
      <c r="E99" s="1" t="s">
        <v>1402</v>
      </c>
      <c r="F99" s="1" t="s">
        <v>108</v>
      </c>
      <c r="G99" s="3" t="s">
        <v>1403</v>
      </c>
      <c r="H99" s="26"/>
      <c r="I99" s="27"/>
      <c r="J99" s="27"/>
      <c r="K99" s="27"/>
      <c r="L99" s="27"/>
      <c r="M99" s="24" t="e">
        <f t="shared" si="18"/>
        <v>#DIV/0!</v>
      </c>
      <c r="N99" s="27"/>
      <c r="O99" s="27"/>
      <c r="P99" s="27"/>
      <c r="Q99" s="27"/>
      <c r="R99" s="24" t="e">
        <f t="shared" si="19"/>
        <v>#DIV/0!</v>
      </c>
      <c r="S99" s="15"/>
    </row>
    <row r="100" spans="1:19" ht="38.25" x14ac:dyDescent="0.25">
      <c r="A100" s="89"/>
      <c r="B100" s="28"/>
      <c r="C100" s="28"/>
      <c r="D100" s="11" t="s">
        <v>105</v>
      </c>
      <c r="E100" s="1" t="s">
        <v>106</v>
      </c>
      <c r="F100" s="1" t="s">
        <v>107</v>
      </c>
      <c r="G100" s="3" t="s">
        <v>1404</v>
      </c>
      <c r="H100" s="26"/>
      <c r="I100" s="27"/>
      <c r="J100" s="27"/>
      <c r="K100" s="27"/>
      <c r="L100" s="27"/>
      <c r="M100" s="24" t="e">
        <f t="shared" si="18"/>
        <v>#DIV/0!</v>
      </c>
      <c r="N100" s="27"/>
      <c r="O100" s="27"/>
      <c r="P100" s="27"/>
      <c r="Q100" s="27"/>
      <c r="R100" s="24" t="e">
        <f t="shared" si="19"/>
        <v>#DIV/0!</v>
      </c>
      <c r="S100" s="15"/>
    </row>
    <row r="101" spans="1:19" ht="15" x14ac:dyDescent="0.25">
      <c r="A101" s="92" t="s">
        <v>14</v>
      </c>
      <c r="B101" s="92"/>
      <c r="C101" s="92"/>
      <c r="D101" s="92"/>
      <c r="E101" s="92"/>
      <c r="F101" s="92"/>
      <c r="G101" s="92"/>
      <c r="H101"/>
      <c r="I101"/>
      <c r="J101"/>
      <c r="K101"/>
      <c r="L101"/>
      <c r="M101"/>
      <c r="N101"/>
      <c r="O101"/>
      <c r="P101"/>
      <c r="Q101"/>
      <c r="R101"/>
      <c r="S101"/>
    </row>
    <row r="102" spans="1:19" ht="15" x14ac:dyDescent="0.25">
      <c r="A102" s="8"/>
      <c r="B102" s="8"/>
      <c r="C102" s="8"/>
      <c r="D102" s="8"/>
      <c r="E102" s="8"/>
      <c r="F102" s="8"/>
      <c r="G102" s="8"/>
      <c r="H102"/>
      <c r="I102"/>
      <c r="J102"/>
      <c r="K102"/>
      <c r="L102"/>
      <c r="M102"/>
      <c r="N102"/>
      <c r="O102"/>
      <c r="P102"/>
      <c r="Q102"/>
      <c r="R102"/>
      <c r="S102"/>
    </row>
    <row r="103" spans="1:19" ht="15" x14ac:dyDescent="0.25">
      <c r="A103" s="8"/>
      <c r="B103" s="8"/>
      <c r="C103" s="8"/>
      <c r="D103" s="8"/>
      <c r="E103" s="8"/>
      <c r="F103" s="8"/>
      <c r="G103" s="8"/>
      <c r="H103"/>
      <c r="I103"/>
      <c r="J103"/>
      <c r="K103"/>
      <c r="L103"/>
      <c r="M103"/>
      <c r="N103"/>
      <c r="O103"/>
      <c r="P103"/>
      <c r="Q103"/>
      <c r="R103"/>
      <c r="S103"/>
    </row>
    <row r="104" spans="1:19" x14ac:dyDescent="0.25">
      <c r="A104" s="8"/>
      <c r="B104" s="8"/>
      <c r="C104" s="8"/>
      <c r="D104" s="8"/>
      <c r="E104" s="8"/>
      <c r="F104" s="8"/>
      <c r="G104" s="8"/>
      <c r="H104" s="7"/>
    </row>
    <row r="105" spans="1:19" x14ac:dyDescent="0.25">
      <c r="A105" s="8"/>
      <c r="B105" s="8"/>
      <c r="C105" s="8"/>
      <c r="D105" s="8"/>
      <c r="E105" s="8"/>
      <c r="F105" s="8"/>
      <c r="G105" s="8"/>
      <c r="H105" s="7"/>
    </row>
    <row r="106" spans="1:19" x14ac:dyDescent="0.25">
      <c r="A106" s="8"/>
      <c r="B106" s="8"/>
      <c r="C106" s="8"/>
      <c r="D106" s="8"/>
      <c r="E106" s="8"/>
      <c r="F106" s="8"/>
      <c r="G106" s="8"/>
      <c r="H106" s="7"/>
    </row>
    <row r="107" spans="1:19" x14ac:dyDescent="0.25">
      <c r="A107" s="8"/>
      <c r="B107" s="8"/>
      <c r="C107" s="8"/>
      <c r="D107" s="8"/>
      <c r="E107" s="8"/>
      <c r="F107" s="8"/>
      <c r="G107" s="8"/>
      <c r="H107" s="7"/>
    </row>
    <row r="108" spans="1:19" x14ac:dyDescent="0.25">
      <c r="A108" s="8"/>
      <c r="B108" s="8"/>
      <c r="C108" s="8"/>
      <c r="D108" s="8"/>
      <c r="E108" s="8"/>
      <c r="F108" s="8"/>
      <c r="G108" s="8"/>
      <c r="H108" s="8"/>
    </row>
    <row r="109" spans="1:19" x14ac:dyDescent="0.25">
      <c r="A109" s="8"/>
      <c r="B109" s="8"/>
      <c r="C109" s="8"/>
      <c r="D109" s="8"/>
      <c r="E109" s="8"/>
      <c r="F109" s="8"/>
      <c r="G109" s="8"/>
      <c r="H109" s="8"/>
    </row>
    <row r="110" spans="1:19" x14ac:dyDescent="0.25">
      <c r="A110" s="8"/>
      <c r="B110" s="8"/>
      <c r="C110" s="8"/>
      <c r="D110" s="8"/>
      <c r="E110" s="8"/>
      <c r="F110" s="8"/>
      <c r="G110" s="8"/>
      <c r="H110" s="8"/>
    </row>
    <row r="111" spans="1:19" ht="25.5" x14ac:dyDescent="0.25">
      <c r="A111" s="72" t="s">
        <v>80</v>
      </c>
      <c r="B111" s="72"/>
      <c r="C111" s="72"/>
      <c r="D111" s="72"/>
      <c r="E111" s="72"/>
      <c r="F111" s="72"/>
      <c r="G111" s="72"/>
      <c r="H111" s="72">
        <v>2025</v>
      </c>
      <c r="I111" s="25" t="s">
        <v>1435</v>
      </c>
      <c r="J111" s="25" t="s">
        <v>1440</v>
      </c>
      <c r="K111" s="25" t="s">
        <v>1441</v>
      </c>
      <c r="L111" s="25" t="s">
        <v>1442</v>
      </c>
      <c r="M111" s="25" t="s">
        <v>1444</v>
      </c>
      <c r="N111" s="25" t="s">
        <v>1435</v>
      </c>
      <c r="O111" s="25" t="s">
        <v>1440</v>
      </c>
      <c r="P111" s="25" t="s">
        <v>1441</v>
      </c>
      <c r="Q111" s="25" t="s">
        <v>1442</v>
      </c>
      <c r="R111" s="25" t="s">
        <v>1445</v>
      </c>
      <c r="S111" s="54" t="s">
        <v>1447</v>
      </c>
    </row>
    <row r="112" spans="1:19" ht="15" customHeight="1" x14ac:dyDescent="0.25">
      <c r="A112" s="80" t="s">
        <v>15</v>
      </c>
      <c r="B112" s="80"/>
      <c r="C112" s="80"/>
      <c r="D112" s="80"/>
      <c r="E112" s="80"/>
      <c r="F112" s="80"/>
      <c r="G112" s="80"/>
      <c r="H112" s="72"/>
      <c r="I112" s="73" t="s">
        <v>1436</v>
      </c>
      <c r="J112" s="73" t="s">
        <v>1437</v>
      </c>
      <c r="K112" s="73" t="s">
        <v>1438</v>
      </c>
      <c r="L112" s="73" t="s">
        <v>1439</v>
      </c>
      <c r="M112" s="73" t="s">
        <v>55</v>
      </c>
      <c r="N112" s="73" t="s">
        <v>1436</v>
      </c>
      <c r="O112" s="73" t="s">
        <v>1437</v>
      </c>
      <c r="P112" s="73" t="s">
        <v>1438</v>
      </c>
      <c r="Q112" s="73" t="s">
        <v>1439</v>
      </c>
      <c r="R112" s="73" t="s">
        <v>55</v>
      </c>
      <c r="S112" s="54"/>
    </row>
    <row r="113" spans="1:19" x14ac:dyDescent="0.25">
      <c r="A113" s="82"/>
      <c r="B113" s="82"/>
      <c r="C113" s="82"/>
      <c r="D113" s="82"/>
      <c r="E113" s="82"/>
      <c r="F113" s="82"/>
      <c r="G113" s="82"/>
      <c r="H113" s="72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54"/>
    </row>
    <row r="114" spans="1:19" ht="25.5" x14ac:dyDescent="0.25">
      <c r="A114" s="10" t="s">
        <v>1</v>
      </c>
      <c r="B114" s="10" t="s">
        <v>1428</v>
      </c>
      <c r="C114" s="10"/>
      <c r="D114" s="10" t="s">
        <v>2</v>
      </c>
      <c r="E114" s="10" t="s">
        <v>3</v>
      </c>
      <c r="F114" s="10" t="s">
        <v>4</v>
      </c>
      <c r="G114" s="10" t="s">
        <v>5</v>
      </c>
      <c r="H114" s="23" t="s">
        <v>1433</v>
      </c>
      <c r="I114" s="23" t="s">
        <v>1434</v>
      </c>
      <c r="J114" s="23" t="s">
        <v>1434</v>
      </c>
      <c r="K114" s="23" t="s">
        <v>1434</v>
      </c>
      <c r="L114" s="23" t="s">
        <v>1434</v>
      </c>
      <c r="M114" s="23" t="s">
        <v>1443</v>
      </c>
      <c r="N114" s="23" t="s">
        <v>1448</v>
      </c>
      <c r="O114" s="23" t="s">
        <v>1448</v>
      </c>
      <c r="P114" s="23" t="s">
        <v>1448</v>
      </c>
      <c r="Q114" s="23" t="s">
        <v>1448</v>
      </c>
      <c r="R114" s="23" t="s">
        <v>1449</v>
      </c>
      <c r="S114" s="54"/>
    </row>
    <row r="115" spans="1:19" ht="38.25" x14ac:dyDescent="0.25">
      <c r="A115" s="87" t="s">
        <v>1405</v>
      </c>
      <c r="B115" s="28"/>
      <c r="C115" s="28"/>
      <c r="D115" s="11" t="s">
        <v>1406</v>
      </c>
      <c r="E115" s="1" t="s">
        <v>1407</v>
      </c>
      <c r="F115" s="1" t="s">
        <v>1408</v>
      </c>
      <c r="G115" s="1" t="s">
        <v>1409</v>
      </c>
      <c r="H115" s="26"/>
      <c r="I115" s="27"/>
      <c r="J115" s="27"/>
      <c r="K115" s="27"/>
      <c r="L115" s="27"/>
      <c r="M115" s="24" t="e">
        <f t="shared" ref="M115" si="20">IF(SUM(I115:L115)=H115,SUM(I115:L115)*100%/H115,"Dato erroneo no cumple con la meta Absoluta (establecida)")</f>
        <v>#DIV/0!</v>
      </c>
      <c r="N115" s="27"/>
      <c r="O115" s="27"/>
      <c r="P115" s="27"/>
      <c r="Q115" s="27"/>
      <c r="R115" s="24" t="e">
        <f t="shared" ref="R115" si="21">SUM(N115:Q115)*100%/H115</f>
        <v>#DIV/0!</v>
      </c>
      <c r="S115" s="15"/>
    </row>
    <row r="116" spans="1:19" ht="38.25" x14ac:dyDescent="0.25">
      <c r="A116" s="88"/>
      <c r="B116" s="28"/>
      <c r="C116" s="28"/>
      <c r="D116" s="11" t="s">
        <v>1410</v>
      </c>
      <c r="E116" s="1" t="s">
        <v>1411</v>
      </c>
      <c r="F116" s="1" t="s">
        <v>1412</v>
      </c>
      <c r="G116" s="1" t="s">
        <v>1413</v>
      </c>
      <c r="H116" s="26"/>
      <c r="I116" s="27"/>
      <c r="J116" s="27"/>
      <c r="K116" s="27"/>
      <c r="L116" s="27"/>
      <c r="M116" s="24" t="e">
        <f t="shared" ref="M116:M118" si="22">IF(SUM(I116:L116)=H116,SUM(I116:L116)*100%/H116,"Dato erroneo no cumple con la meta Absoluta (establecida)")</f>
        <v>#DIV/0!</v>
      </c>
      <c r="N116" s="27"/>
      <c r="O116" s="27"/>
      <c r="P116" s="27"/>
      <c r="Q116" s="27"/>
      <c r="R116" s="24" t="e">
        <f t="shared" ref="R116:R118" si="23">SUM(N116:Q116)*100%/H116</f>
        <v>#DIV/0!</v>
      </c>
      <c r="S116" s="15"/>
    </row>
    <row r="117" spans="1:19" ht="38.25" x14ac:dyDescent="0.25">
      <c r="A117" s="88"/>
      <c r="B117" s="28"/>
      <c r="C117" s="28"/>
      <c r="D117" s="11" t="s">
        <v>1414</v>
      </c>
      <c r="E117" s="1" t="s">
        <v>200</v>
      </c>
      <c r="F117" s="1" t="s">
        <v>1415</v>
      </c>
      <c r="G117" s="1" t="s">
        <v>1416</v>
      </c>
      <c r="H117" s="26"/>
      <c r="I117" s="27"/>
      <c r="J117" s="27"/>
      <c r="K117" s="27"/>
      <c r="L117" s="27"/>
      <c r="M117" s="24" t="e">
        <f t="shared" si="22"/>
        <v>#DIV/0!</v>
      </c>
      <c r="N117" s="27"/>
      <c r="O117" s="27"/>
      <c r="P117" s="27"/>
      <c r="Q117" s="27"/>
      <c r="R117" s="24" t="e">
        <f t="shared" si="23"/>
        <v>#DIV/0!</v>
      </c>
      <c r="S117" s="15"/>
    </row>
    <row r="118" spans="1:19" ht="38.25" x14ac:dyDescent="0.25">
      <c r="A118" s="89"/>
      <c r="B118" s="28"/>
      <c r="C118" s="28"/>
      <c r="D118" s="1" t="s">
        <v>1417</v>
      </c>
      <c r="E118" s="1" t="s">
        <v>1418</v>
      </c>
      <c r="F118" s="1" t="s">
        <v>1419</v>
      </c>
      <c r="G118" s="1" t="s">
        <v>1420</v>
      </c>
      <c r="H118" s="26"/>
      <c r="I118" s="27"/>
      <c r="J118" s="27"/>
      <c r="K118" s="27"/>
      <c r="L118" s="27"/>
      <c r="M118" s="24" t="e">
        <f t="shared" si="22"/>
        <v>#DIV/0!</v>
      </c>
      <c r="N118" s="27"/>
      <c r="O118" s="27"/>
      <c r="P118" s="27"/>
      <c r="Q118" s="27"/>
      <c r="R118" s="24" t="e">
        <f t="shared" si="23"/>
        <v>#DIV/0!</v>
      </c>
      <c r="S118" s="15"/>
    </row>
    <row r="119" spans="1:19" ht="12.75" customHeight="1" x14ac:dyDescent="0.25">
      <c r="A119" s="56" t="s">
        <v>16</v>
      </c>
      <c r="B119" s="56"/>
      <c r="C119" s="56"/>
      <c r="D119" s="56"/>
      <c r="E119" s="56"/>
      <c r="F119" s="56"/>
      <c r="G119" s="56"/>
      <c r="H119"/>
      <c r="I119"/>
      <c r="J119"/>
      <c r="K119"/>
      <c r="L119"/>
      <c r="M119"/>
      <c r="N119"/>
      <c r="O119"/>
      <c r="P119"/>
      <c r="Q119"/>
      <c r="R119"/>
    </row>
    <row r="120" spans="1:19" ht="15" x14ac:dyDescent="0.25">
      <c r="A120" s="7"/>
      <c r="B120" s="7"/>
      <c r="C120" s="7"/>
      <c r="D120" s="7"/>
      <c r="E120" s="7"/>
      <c r="F120" s="7"/>
      <c r="G120" s="7"/>
      <c r="H120"/>
      <c r="I120"/>
      <c r="J120"/>
      <c r="K120"/>
      <c r="L120"/>
      <c r="M120"/>
      <c r="N120"/>
      <c r="O120"/>
      <c r="P120"/>
      <c r="Q120"/>
      <c r="R120"/>
    </row>
    <row r="121" spans="1:19" ht="15" x14ac:dyDescent="0.25">
      <c r="H121"/>
      <c r="I121"/>
      <c r="J121"/>
      <c r="K121"/>
      <c r="L121"/>
      <c r="M121"/>
      <c r="N121"/>
      <c r="O121"/>
      <c r="P121"/>
      <c r="Q121"/>
      <c r="R121"/>
    </row>
    <row r="122" spans="1:19" ht="15" x14ac:dyDescent="0.25">
      <c r="H122"/>
      <c r="I122"/>
      <c r="J122"/>
      <c r="K122"/>
      <c r="L122"/>
      <c r="M122"/>
      <c r="N122"/>
      <c r="O122"/>
      <c r="P122"/>
      <c r="Q122"/>
      <c r="R122"/>
    </row>
    <row r="123" spans="1:19" ht="15" x14ac:dyDescent="0.25">
      <c r="H123"/>
      <c r="I123"/>
      <c r="J123"/>
      <c r="K123"/>
      <c r="L123"/>
      <c r="M123"/>
      <c r="N123"/>
      <c r="O123"/>
      <c r="P123"/>
      <c r="Q123"/>
      <c r="R123"/>
    </row>
    <row r="124" spans="1:19" ht="15" x14ac:dyDescent="0.25">
      <c r="H124"/>
      <c r="I124"/>
      <c r="J124"/>
      <c r="K124"/>
      <c r="L124"/>
      <c r="M124"/>
      <c r="N124"/>
      <c r="O124"/>
      <c r="P124"/>
      <c r="Q124"/>
      <c r="R124"/>
    </row>
  </sheetData>
  <mergeCells count="114">
    <mergeCell ref="H111:H113"/>
    <mergeCell ref="S111:S114"/>
    <mergeCell ref="I112:I113"/>
    <mergeCell ref="J112:J113"/>
    <mergeCell ref="K112:K113"/>
    <mergeCell ref="L112:L113"/>
    <mergeCell ref="M112:M113"/>
    <mergeCell ref="N112:N113"/>
    <mergeCell ref="O112:O113"/>
    <mergeCell ref="P112:P113"/>
    <mergeCell ref="Q112:Q113"/>
    <mergeCell ref="R112:R113"/>
    <mergeCell ref="A97:A100"/>
    <mergeCell ref="A12:G12"/>
    <mergeCell ref="A32:G32"/>
    <mergeCell ref="A49:G49"/>
    <mergeCell ref="A66:G66"/>
    <mergeCell ref="A83:G83"/>
    <mergeCell ref="A101:G101"/>
    <mergeCell ref="A119:G119"/>
    <mergeCell ref="A111:G111"/>
    <mergeCell ref="A112:G113"/>
    <mergeCell ref="A115:A118"/>
    <mergeCell ref="A39:G39"/>
    <mergeCell ref="A40:G41"/>
    <mergeCell ref="A22:A31"/>
    <mergeCell ref="A43:A48"/>
    <mergeCell ref="O94:O95"/>
    <mergeCell ref="P94:P95"/>
    <mergeCell ref="Q94:Q95"/>
    <mergeCell ref="R94:R95"/>
    <mergeCell ref="A57:G57"/>
    <mergeCell ref="A74:G74"/>
    <mergeCell ref="A93:G93"/>
    <mergeCell ref="A94:G95"/>
    <mergeCell ref="A75:G76"/>
    <mergeCell ref="A58:G59"/>
    <mergeCell ref="A61:A65"/>
    <mergeCell ref="A78:A82"/>
    <mergeCell ref="M58:M59"/>
    <mergeCell ref="N58:N59"/>
    <mergeCell ref="O58:O59"/>
    <mergeCell ref="P58:P59"/>
    <mergeCell ref="Q58:Q59"/>
    <mergeCell ref="R58:R59"/>
    <mergeCell ref="H74:H76"/>
    <mergeCell ref="H93:H95"/>
    <mergeCell ref="A3:G4"/>
    <mergeCell ref="A2:G2"/>
    <mergeCell ref="H2:H4"/>
    <mergeCell ref="H18:H20"/>
    <mergeCell ref="A18:G18"/>
    <mergeCell ref="A19:G20"/>
    <mergeCell ref="O3:O4"/>
    <mergeCell ref="P3:P4"/>
    <mergeCell ref="Q3:Q4"/>
    <mergeCell ref="A6:A11"/>
    <mergeCell ref="F10:F11"/>
    <mergeCell ref="G10:G11"/>
    <mergeCell ref="R3:R4"/>
    <mergeCell ref="S2:S5"/>
    <mergeCell ref="I19:I20"/>
    <mergeCell ref="J19:J20"/>
    <mergeCell ref="K19:K20"/>
    <mergeCell ref="L19:L20"/>
    <mergeCell ref="M19:M20"/>
    <mergeCell ref="N19:N20"/>
    <mergeCell ref="O19:O20"/>
    <mergeCell ref="P19:P20"/>
    <mergeCell ref="Q19:Q20"/>
    <mergeCell ref="R19:R20"/>
    <mergeCell ref="S18:S21"/>
    <mergeCell ref="I3:I4"/>
    <mergeCell ref="J3:J4"/>
    <mergeCell ref="K3:K4"/>
    <mergeCell ref="L3:L4"/>
    <mergeCell ref="M3:M4"/>
    <mergeCell ref="N3:N4"/>
    <mergeCell ref="S93:S96"/>
    <mergeCell ref="I94:I95"/>
    <mergeCell ref="J94:J95"/>
    <mergeCell ref="K94:K95"/>
    <mergeCell ref="L94:L95"/>
    <mergeCell ref="M94:M95"/>
    <mergeCell ref="N94:N95"/>
    <mergeCell ref="H57:H59"/>
    <mergeCell ref="S57:S60"/>
    <mergeCell ref="I58:I59"/>
    <mergeCell ref="J58:J59"/>
    <mergeCell ref="K58:K59"/>
    <mergeCell ref="L58:L59"/>
    <mergeCell ref="S74:S77"/>
    <mergeCell ref="I75:I76"/>
    <mergeCell ref="J75:J76"/>
    <mergeCell ref="K75:K76"/>
    <mergeCell ref="L75:L76"/>
    <mergeCell ref="M75:M76"/>
    <mergeCell ref="N75:N76"/>
    <mergeCell ref="O75:O76"/>
    <mergeCell ref="P75:P76"/>
    <mergeCell ref="Q75:Q76"/>
    <mergeCell ref="R75:R76"/>
    <mergeCell ref="H39:H41"/>
    <mergeCell ref="S39:S42"/>
    <mergeCell ref="I40:I41"/>
    <mergeCell ref="J40:J41"/>
    <mergeCell ref="K40:K41"/>
    <mergeCell ref="L40:L41"/>
    <mergeCell ref="M40:M41"/>
    <mergeCell ref="N40:N41"/>
    <mergeCell ref="O40:O41"/>
    <mergeCell ref="P40:P41"/>
    <mergeCell ref="Q40:Q41"/>
    <mergeCell ref="R40:R41"/>
  </mergeCells>
  <phoneticPr fontId="11" type="noConversion"/>
  <pageMargins left="0.7" right="0.7" top="0.75" bottom="0.75" header="0.3" footer="0.3"/>
  <pageSetup paperSize="9" scale="20" orientation="landscape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80"/>
  <sheetViews>
    <sheetView topLeftCell="B165" zoomScale="90" zoomScaleNormal="90" workbookViewId="0">
      <selection activeCell="F174" sqref="F174"/>
    </sheetView>
  </sheetViews>
  <sheetFormatPr baseColWidth="10" defaultColWidth="9.140625" defaultRowHeight="12.75" x14ac:dyDescent="0.25"/>
  <cols>
    <col min="1" max="1" width="33.85546875" style="14" customWidth="1"/>
    <col min="2" max="2" width="19" style="14" bestFit="1" customWidth="1"/>
    <col min="3" max="3" width="19" style="14" customWidth="1"/>
    <col min="4" max="4" width="32.42578125" style="14" bestFit="1" customWidth="1"/>
    <col min="5" max="5" width="19.85546875" style="14" bestFit="1" customWidth="1"/>
    <col min="6" max="6" width="13.42578125" style="14" bestFit="1" customWidth="1"/>
    <col min="7" max="7" width="25.42578125" style="14" customWidth="1"/>
    <col min="8" max="8" width="11.5703125" style="14" bestFit="1" customWidth="1"/>
    <col min="9" max="12" width="9.140625" style="14"/>
    <col min="13" max="13" width="12.28515625" style="14" bestFit="1" customWidth="1"/>
    <col min="14" max="15" width="11.85546875" style="14" bestFit="1" customWidth="1"/>
    <col min="16" max="16" width="12.28515625" style="14" customWidth="1"/>
    <col min="17" max="17" width="9.140625" style="14"/>
    <col min="18" max="18" width="15.42578125" style="14" customWidth="1"/>
    <col min="19" max="19" width="11.85546875" style="14" bestFit="1" customWidth="1"/>
    <col min="20" max="16384" width="9.140625" style="14"/>
  </cols>
  <sheetData>
    <row r="1" spans="1:19" ht="38.25" hidden="1" x14ac:dyDescent="0.25">
      <c r="A1" s="110" t="s">
        <v>693</v>
      </c>
      <c r="B1" s="111"/>
      <c r="C1" s="111"/>
      <c r="D1" s="111"/>
      <c r="E1" s="111"/>
      <c r="F1" s="111"/>
      <c r="G1" s="111"/>
      <c r="H1" s="72">
        <v>2025</v>
      </c>
      <c r="I1" s="25" t="s">
        <v>1435</v>
      </c>
      <c r="J1" s="25" t="s">
        <v>1440</v>
      </c>
      <c r="K1" s="25" t="s">
        <v>1441</v>
      </c>
      <c r="L1" s="25" t="s">
        <v>1442</v>
      </c>
      <c r="M1" s="25" t="s">
        <v>1444</v>
      </c>
      <c r="N1" s="25" t="s">
        <v>1435</v>
      </c>
      <c r="O1" s="25" t="s">
        <v>1440</v>
      </c>
      <c r="P1" s="25" t="s">
        <v>1441</v>
      </c>
      <c r="Q1" s="25" t="s">
        <v>1442</v>
      </c>
      <c r="R1" s="25" t="s">
        <v>1445</v>
      </c>
      <c r="S1" s="54" t="s">
        <v>1447</v>
      </c>
    </row>
    <row r="2" spans="1:19" hidden="1" x14ac:dyDescent="0.25">
      <c r="A2" s="107" t="s">
        <v>17</v>
      </c>
      <c r="B2" s="82"/>
      <c r="C2" s="82"/>
      <c r="D2" s="82"/>
      <c r="E2" s="82"/>
      <c r="F2" s="82"/>
      <c r="G2" s="82"/>
      <c r="H2" s="72"/>
      <c r="I2" s="73" t="s">
        <v>1436</v>
      </c>
      <c r="J2" s="73" t="s">
        <v>1437</v>
      </c>
      <c r="K2" s="73" t="s">
        <v>1438</v>
      </c>
      <c r="L2" s="73" t="s">
        <v>1439</v>
      </c>
      <c r="M2" s="73" t="s">
        <v>55</v>
      </c>
      <c r="N2" s="73" t="s">
        <v>1436</v>
      </c>
      <c r="O2" s="73" t="s">
        <v>1437</v>
      </c>
      <c r="P2" s="73" t="s">
        <v>1438</v>
      </c>
      <c r="Q2" s="73" t="s">
        <v>1439</v>
      </c>
      <c r="R2" s="73" t="s">
        <v>55</v>
      </c>
      <c r="S2" s="54"/>
    </row>
    <row r="3" spans="1:19" hidden="1" x14ac:dyDescent="0.25">
      <c r="A3" s="98"/>
      <c r="B3" s="99"/>
      <c r="C3" s="99"/>
      <c r="D3" s="99"/>
      <c r="E3" s="99"/>
      <c r="F3" s="99"/>
      <c r="G3" s="99"/>
      <c r="H3" s="72"/>
      <c r="I3" s="73"/>
      <c r="J3" s="73"/>
      <c r="K3" s="73"/>
      <c r="L3" s="73"/>
      <c r="M3" s="73"/>
      <c r="N3" s="73"/>
      <c r="O3" s="73"/>
      <c r="P3" s="73"/>
      <c r="Q3" s="73"/>
      <c r="R3" s="73"/>
      <c r="S3" s="54"/>
    </row>
    <row r="4" spans="1:19" ht="38.25" hidden="1" x14ac:dyDescent="0.25">
      <c r="A4" s="10" t="s">
        <v>1</v>
      </c>
      <c r="B4" s="23" t="s">
        <v>1428</v>
      </c>
      <c r="C4" s="23" t="s">
        <v>1446</v>
      </c>
      <c r="D4" s="10" t="s">
        <v>2</v>
      </c>
      <c r="E4" s="10" t="s">
        <v>3</v>
      </c>
      <c r="F4" s="10" t="s">
        <v>4</v>
      </c>
      <c r="G4" s="10" t="s">
        <v>5</v>
      </c>
      <c r="H4" s="23" t="s">
        <v>1433</v>
      </c>
      <c r="I4" s="23" t="s">
        <v>1434</v>
      </c>
      <c r="J4" s="23" t="s">
        <v>1434</v>
      </c>
      <c r="K4" s="23" t="s">
        <v>1434</v>
      </c>
      <c r="L4" s="23" t="s">
        <v>1434</v>
      </c>
      <c r="M4" s="23" t="s">
        <v>1443</v>
      </c>
      <c r="N4" s="23" t="s">
        <v>1448</v>
      </c>
      <c r="O4" s="23" t="s">
        <v>1448</v>
      </c>
      <c r="P4" s="23" t="s">
        <v>1448</v>
      </c>
      <c r="Q4" s="23" t="s">
        <v>1448</v>
      </c>
      <c r="R4" s="23" t="s">
        <v>1449</v>
      </c>
      <c r="S4" s="54"/>
    </row>
    <row r="5" spans="1:19" ht="51" hidden="1" x14ac:dyDescent="0.25">
      <c r="A5" s="75" t="s">
        <v>694</v>
      </c>
      <c r="B5" s="28"/>
      <c r="C5" s="28"/>
      <c r="D5" s="4" t="s">
        <v>695</v>
      </c>
      <c r="E5" s="4" t="s">
        <v>696</v>
      </c>
      <c r="F5" s="4" t="s">
        <v>697</v>
      </c>
      <c r="G5" s="4" t="s">
        <v>698</v>
      </c>
      <c r="H5" s="28"/>
      <c r="I5" s="27"/>
      <c r="J5" s="27"/>
      <c r="K5" s="27"/>
      <c r="L5" s="27"/>
      <c r="M5" s="24" t="e">
        <f>IF(SUM(I5:L5)=H5,SUM(I5:L5)*100%/H5,"Dato erroneo no cumple con la meta Absoluta (establecida)")</f>
        <v>#DIV/0!</v>
      </c>
      <c r="N5" s="27"/>
      <c r="O5" s="27"/>
      <c r="P5" s="27"/>
      <c r="Q5" s="27"/>
      <c r="R5" s="24" t="e">
        <f>SUM(N5:Q5)*100%/H5</f>
        <v>#DIV/0!</v>
      </c>
      <c r="S5" s="15"/>
    </row>
    <row r="6" spans="1:19" ht="51" hidden="1" x14ac:dyDescent="0.25">
      <c r="A6" s="75"/>
      <c r="B6" s="28"/>
      <c r="C6" s="28"/>
      <c r="D6" s="4" t="s">
        <v>699</v>
      </c>
      <c r="E6" s="4" t="s">
        <v>700</v>
      </c>
      <c r="F6" s="4" t="s">
        <v>701</v>
      </c>
      <c r="G6" s="4" t="s">
        <v>702</v>
      </c>
      <c r="H6" s="28"/>
      <c r="I6" s="27"/>
      <c r="J6" s="27"/>
      <c r="K6" s="27"/>
      <c r="L6" s="27"/>
      <c r="M6" s="24" t="e">
        <f t="shared" ref="M6:M9" si="0">IF(SUM(I6:L6)=H6,SUM(I6:L6)*100%/H6,"Dato erroneo no cumple con la meta Absoluta (establecida)")</f>
        <v>#DIV/0!</v>
      </c>
      <c r="N6" s="27"/>
      <c r="O6" s="27"/>
      <c r="P6" s="27"/>
      <c r="Q6" s="27"/>
      <c r="R6" s="24" t="e">
        <f t="shared" ref="R6:R9" si="1">SUM(N6:Q6)*100%/H6</f>
        <v>#DIV/0!</v>
      </c>
      <c r="S6" s="15"/>
    </row>
    <row r="7" spans="1:19" ht="51" hidden="1" x14ac:dyDescent="0.25">
      <c r="A7" s="75"/>
      <c r="B7" s="28"/>
      <c r="C7" s="28"/>
      <c r="D7" s="4" t="s">
        <v>703</v>
      </c>
      <c r="E7" s="4" t="s">
        <v>704</v>
      </c>
      <c r="F7" s="4" t="s">
        <v>692</v>
      </c>
      <c r="G7" s="4" t="s">
        <v>705</v>
      </c>
      <c r="H7" s="28"/>
      <c r="I7" s="27"/>
      <c r="J7" s="27"/>
      <c r="K7" s="27"/>
      <c r="L7" s="27"/>
      <c r="M7" s="24" t="e">
        <f t="shared" si="0"/>
        <v>#DIV/0!</v>
      </c>
      <c r="N7" s="27"/>
      <c r="O7" s="27"/>
      <c r="P7" s="27"/>
      <c r="Q7" s="27"/>
      <c r="R7" s="24" t="e">
        <f t="shared" si="1"/>
        <v>#DIV/0!</v>
      </c>
      <c r="S7" s="15"/>
    </row>
    <row r="8" spans="1:19" ht="63.75" hidden="1" x14ac:dyDescent="0.25">
      <c r="A8" s="75"/>
      <c r="B8" s="28"/>
      <c r="C8" s="28"/>
      <c r="D8" s="4" t="s">
        <v>706</v>
      </c>
      <c r="E8" s="4" t="s">
        <v>707</v>
      </c>
      <c r="F8" s="4" t="s">
        <v>708</v>
      </c>
      <c r="G8" s="4" t="s">
        <v>709</v>
      </c>
      <c r="H8" s="28"/>
      <c r="I8" s="27"/>
      <c r="J8" s="27"/>
      <c r="K8" s="27"/>
      <c r="L8" s="27"/>
      <c r="M8" s="24" t="e">
        <f t="shared" si="0"/>
        <v>#DIV/0!</v>
      </c>
      <c r="N8" s="27"/>
      <c r="O8" s="27"/>
      <c r="P8" s="27"/>
      <c r="Q8" s="27"/>
      <c r="R8" s="24" t="e">
        <f t="shared" si="1"/>
        <v>#DIV/0!</v>
      </c>
      <c r="S8" s="15"/>
    </row>
    <row r="9" spans="1:19" ht="76.5" hidden="1" x14ac:dyDescent="0.25">
      <c r="A9" s="75"/>
      <c r="B9" s="28"/>
      <c r="C9" s="28"/>
      <c r="D9" s="4" t="s">
        <v>710</v>
      </c>
      <c r="E9" s="4" t="s">
        <v>711</v>
      </c>
      <c r="F9" s="4" t="s">
        <v>712</v>
      </c>
      <c r="G9" s="4" t="s">
        <v>713</v>
      </c>
      <c r="H9" s="28"/>
      <c r="I9" s="27"/>
      <c r="J9" s="27"/>
      <c r="K9" s="27"/>
      <c r="L9" s="27"/>
      <c r="M9" s="24" t="e">
        <f t="shared" si="0"/>
        <v>#DIV/0!</v>
      </c>
      <c r="N9" s="27"/>
      <c r="O9" s="27"/>
      <c r="P9" s="27"/>
      <c r="Q9" s="27"/>
      <c r="R9" s="24" t="e">
        <f t="shared" si="1"/>
        <v>#DIV/0!</v>
      </c>
      <c r="S9" s="15"/>
    </row>
    <row r="10" spans="1:19" ht="15" hidden="1" x14ac:dyDescent="0.25">
      <c r="A10" s="56" t="s">
        <v>18</v>
      </c>
      <c r="B10" s="56"/>
      <c r="C10" s="56"/>
      <c r="D10" s="56"/>
      <c r="E10" s="56"/>
      <c r="F10" s="56"/>
      <c r="G10" s="56"/>
      <c r="H10"/>
      <c r="I10"/>
      <c r="J10"/>
      <c r="K10"/>
      <c r="L10"/>
      <c r="M10"/>
      <c r="N10"/>
      <c r="O10"/>
      <c r="P10"/>
      <c r="Q10"/>
      <c r="R10"/>
      <c r="S10"/>
    </row>
    <row r="11" spans="1:19" ht="15" hidden="1" x14ac:dyDescent="0.25">
      <c r="A11" s="7"/>
      <c r="B11" s="7"/>
      <c r="C11" s="7"/>
      <c r="D11" s="7"/>
      <c r="E11" s="7"/>
      <c r="F11" s="7"/>
      <c r="G11" s="7"/>
      <c r="H11"/>
      <c r="I11"/>
      <c r="J11"/>
      <c r="K11"/>
      <c r="L11"/>
      <c r="M11"/>
      <c r="N11"/>
      <c r="O11"/>
      <c r="P11"/>
      <c r="Q11"/>
      <c r="R11"/>
      <c r="S11"/>
    </row>
    <row r="12" spans="1:19" ht="15" hidden="1" x14ac:dyDescent="0.25">
      <c r="A12" s="7"/>
      <c r="B12" s="7"/>
      <c r="C12" s="7"/>
      <c r="D12" s="7"/>
      <c r="E12" s="7"/>
      <c r="F12" s="7"/>
      <c r="G12" s="7"/>
      <c r="H12"/>
      <c r="I12"/>
      <c r="J12"/>
      <c r="K12"/>
      <c r="L12"/>
      <c r="M12"/>
      <c r="N12"/>
      <c r="O12"/>
      <c r="P12"/>
      <c r="Q12"/>
      <c r="R12"/>
      <c r="S12"/>
    </row>
    <row r="13" spans="1:19" ht="15" hidden="1" x14ac:dyDescent="0.25">
      <c r="A13" s="7"/>
      <c r="B13" s="7"/>
      <c r="C13" s="7"/>
      <c r="D13" s="7"/>
      <c r="E13" s="7"/>
      <c r="F13" s="7"/>
      <c r="G13" s="7"/>
      <c r="H13"/>
      <c r="I13"/>
      <c r="J13"/>
      <c r="K13"/>
      <c r="L13"/>
      <c r="M13"/>
      <c r="N13"/>
      <c r="O13"/>
      <c r="P13"/>
      <c r="Q13"/>
      <c r="R13"/>
      <c r="S13"/>
    </row>
    <row r="14" spans="1:19" hidden="1" x14ac:dyDescent="0.25">
      <c r="A14" s="7"/>
      <c r="B14" s="7"/>
      <c r="C14" s="7"/>
      <c r="D14" s="7"/>
      <c r="E14" s="7"/>
      <c r="F14" s="7"/>
      <c r="G14" s="7"/>
    </row>
    <row r="15" spans="1:19" hidden="1" x14ac:dyDescent="0.25">
      <c r="A15" s="7"/>
      <c r="B15" s="7"/>
      <c r="C15" s="7"/>
      <c r="D15" s="7"/>
      <c r="E15" s="7"/>
      <c r="F15" s="7"/>
      <c r="G15" s="7"/>
    </row>
    <row r="16" spans="1:19" hidden="1" x14ac:dyDescent="0.25">
      <c r="A16" s="7"/>
      <c r="B16" s="7"/>
      <c r="C16" s="7"/>
      <c r="D16" s="7"/>
      <c r="E16" s="7"/>
      <c r="F16" s="7"/>
      <c r="G16" s="7"/>
    </row>
    <row r="17" spans="1:19" hidden="1" x14ac:dyDescent="0.25">
      <c r="A17" s="7"/>
      <c r="B17" s="7"/>
      <c r="C17" s="7"/>
      <c r="D17" s="7"/>
      <c r="E17" s="7"/>
      <c r="F17" s="7"/>
      <c r="G17" s="7"/>
    </row>
    <row r="18" spans="1:19" ht="38.25" hidden="1" x14ac:dyDescent="0.25">
      <c r="A18" s="108" t="s">
        <v>693</v>
      </c>
      <c r="B18" s="109"/>
      <c r="C18" s="109"/>
      <c r="D18" s="109"/>
      <c r="E18" s="109"/>
      <c r="F18" s="109"/>
      <c r="G18" s="109"/>
      <c r="H18" s="72">
        <v>2025</v>
      </c>
      <c r="I18" s="25" t="s">
        <v>1435</v>
      </c>
      <c r="J18" s="25" t="s">
        <v>1440</v>
      </c>
      <c r="K18" s="25" t="s">
        <v>1441</v>
      </c>
      <c r="L18" s="25" t="s">
        <v>1442</v>
      </c>
      <c r="M18" s="25" t="s">
        <v>1444</v>
      </c>
      <c r="N18" s="25" t="s">
        <v>1435</v>
      </c>
      <c r="O18" s="25" t="s">
        <v>1440</v>
      </c>
      <c r="P18" s="25" t="s">
        <v>1441</v>
      </c>
      <c r="Q18" s="25" t="s">
        <v>1442</v>
      </c>
      <c r="R18" s="25" t="s">
        <v>1445</v>
      </c>
      <c r="S18" s="54" t="s">
        <v>1447</v>
      </c>
    </row>
    <row r="19" spans="1:19" hidden="1" x14ac:dyDescent="0.25">
      <c r="A19" s="107" t="s">
        <v>19</v>
      </c>
      <c r="B19" s="82"/>
      <c r="C19" s="82"/>
      <c r="D19" s="82"/>
      <c r="E19" s="82"/>
      <c r="F19" s="82"/>
      <c r="G19" s="82"/>
      <c r="H19" s="72"/>
      <c r="I19" s="73" t="s">
        <v>1436</v>
      </c>
      <c r="J19" s="73" t="s">
        <v>1437</v>
      </c>
      <c r="K19" s="73" t="s">
        <v>1438</v>
      </c>
      <c r="L19" s="73" t="s">
        <v>1439</v>
      </c>
      <c r="M19" s="73" t="s">
        <v>55</v>
      </c>
      <c r="N19" s="73" t="s">
        <v>1436</v>
      </c>
      <c r="O19" s="73" t="s">
        <v>1437</v>
      </c>
      <c r="P19" s="73" t="s">
        <v>1438</v>
      </c>
      <c r="Q19" s="73" t="s">
        <v>1439</v>
      </c>
      <c r="R19" s="73" t="s">
        <v>55</v>
      </c>
      <c r="S19" s="54"/>
    </row>
    <row r="20" spans="1:19" hidden="1" x14ac:dyDescent="0.25">
      <c r="A20" s="98"/>
      <c r="B20" s="99"/>
      <c r="C20" s="99"/>
      <c r="D20" s="99"/>
      <c r="E20" s="99"/>
      <c r="F20" s="99"/>
      <c r="G20" s="99"/>
      <c r="H20" s="72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54"/>
    </row>
    <row r="21" spans="1:19" ht="38.25" hidden="1" x14ac:dyDescent="0.25">
      <c r="A21" s="10" t="s">
        <v>1</v>
      </c>
      <c r="B21" s="10" t="s">
        <v>1428</v>
      </c>
      <c r="C21" s="23" t="s">
        <v>1446</v>
      </c>
      <c r="D21" s="10" t="s">
        <v>2</v>
      </c>
      <c r="E21" s="10" t="s">
        <v>3</v>
      </c>
      <c r="F21" s="10" t="s">
        <v>4</v>
      </c>
      <c r="G21" s="10" t="s">
        <v>5</v>
      </c>
      <c r="H21" s="23" t="s">
        <v>1433</v>
      </c>
      <c r="I21" s="23" t="s">
        <v>1434</v>
      </c>
      <c r="J21" s="23" t="s">
        <v>1434</v>
      </c>
      <c r="K21" s="23" t="s">
        <v>1434</v>
      </c>
      <c r="L21" s="23" t="s">
        <v>1434</v>
      </c>
      <c r="M21" s="23" t="s">
        <v>1443</v>
      </c>
      <c r="N21" s="23" t="s">
        <v>1448</v>
      </c>
      <c r="O21" s="23" t="s">
        <v>1448</v>
      </c>
      <c r="P21" s="23" t="s">
        <v>1448</v>
      </c>
      <c r="Q21" s="23" t="s">
        <v>1448</v>
      </c>
      <c r="R21" s="23" t="s">
        <v>1449</v>
      </c>
      <c r="S21" s="54"/>
    </row>
    <row r="22" spans="1:19" ht="51" hidden="1" x14ac:dyDescent="0.25">
      <c r="A22" s="75" t="s">
        <v>714</v>
      </c>
      <c r="B22" s="28"/>
      <c r="C22" s="28"/>
      <c r="D22" s="4" t="s">
        <v>715</v>
      </c>
      <c r="E22" s="4" t="s">
        <v>716</v>
      </c>
      <c r="F22" s="4" t="s">
        <v>717</v>
      </c>
      <c r="G22" s="4" t="s">
        <v>109</v>
      </c>
      <c r="H22" s="28"/>
      <c r="I22" s="27"/>
      <c r="J22" s="27"/>
      <c r="K22" s="27"/>
      <c r="L22" s="27"/>
      <c r="M22" s="24" t="e">
        <f>IF(SUM(I22:L22)=H22,SUM(I22:L22)*100%/H22,"Dato erroneo no cumple con la meta Absoluta (establecida)")</f>
        <v>#DIV/0!</v>
      </c>
      <c r="N22" s="27"/>
      <c r="O22" s="27"/>
      <c r="P22" s="27"/>
      <c r="Q22" s="27"/>
      <c r="R22" s="24" t="e">
        <f>SUM(N22:Q22)*100%/H22</f>
        <v>#DIV/0!</v>
      </c>
      <c r="S22" s="15"/>
    </row>
    <row r="23" spans="1:19" ht="63.75" hidden="1" x14ac:dyDescent="0.25">
      <c r="A23" s="75"/>
      <c r="B23" s="28"/>
      <c r="C23" s="28"/>
      <c r="D23" s="4" t="s">
        <v>718</v>
      </c>
      <c r="E23" s="4" t="s">
        <v>719</v>
      </c>
      <c r="F23" s="4" t="s">
        <v>83</v>
      </c>
      <c r="G23" s="4" t="s">
        <v>720</v>
      </c>
      <c r="H23" s="28"/>
      <c r="I23" s="27"/>
      <c r="J23" s="27"/>
      <c r="K23" s="27"/>
      <c r="L23" s="27"/>
      <c r="M23" s="24" t="e">
        <f t="shared" ref="M23:M25" si="2">IF(SUM(I23:L23)=H23,SUM(I23:L23)*100%/H23,"Dato erroneo no cumple con la meta Absoluta (establecida)")</f>
        <v>#DIV/0!</v>
      </c>
      <c r="N23" s="27"/>
      <c r="O23" s="27"/>
      <c r="P23" s="27"/>
      <c r="Q23" s="27"/>
      <c r="R23" s="24" t="e">
        <f t="shared" ref="R23:R25" si="3">SUM(N23:Q23)*100%/H23</f>
        <v>#DIV/0!</v>
      </c>
      <c r="S23" s="15"/>
    </row>
    <row r="24" spans="1:19" ht="38.25" hidden="1" x14ac:dyDescent="0.25">
      <c r="A24" s="75"/>
      <c r="B24" s="28"/>
      <c r="C24" s="28"/>
      <c r="D24" s="4" t="s">
        <v>721</v>
      </c>
      <c r="E24" s="4" t="s">
        <v>722</v>
      </c>
      <c r="F24" s="4" t="s">
        <v>723</v>
      </c>
      <c r="G24" s="4" t="s">
        <v>724</v>
      </c>
      <c r="H24" s="28"/>
      <c r="I24" s="27"/>
      <c r="J24" s="27"/>
      <c r="K24" s="27"/>
      <c r="L24" s="27"/>
      <c r="M24" s="24" t="e">
        <f t="shared" si="2"/>
        <v>#DIV/0!</v>
      </c>
      <c r="N24" s="27"/>
      <c r="O24" s="27"/>
      <c r="P24" s="27"/>
      <c r="Q24" s="27"/>
      <c r="R24" s="24" t="e">
        <f t="shared" si="3"/>
        <v>#DIV/0!</v>
      </c>
      <c r="S24" s="15"/>
    </row>
    <row r="25" spans="1:19" ht="51" hidden="1" x14ac:dyDescent="0.25">
      <c r="A25" s="75"/>
      <c r="B25" s="28"/>
      <c r="C25" s="28"/>
      <c r="D25" s="4" t="s">
        <v>725</v>
      </c>
      <c r="E25" s="4" t="s">
        <v>726</v>
      </c>
      <c r="F25" s="4" t="s">
        <v>727</v>
      </c>
      <c r="G25" s="4" t="s">
        <v>728</v>
      </c>
      <c r="H25" s="28"/>
      <c r="I25" s="27"/>
      <c r="J25" s="27"/>
      <c r="K25" s="27"/>
      <c r="L25" s="27"/>
      <c r="M25" s="24" t="e">
        <f t="shared" si="2"/>
        <v>#DIV/0!</v>
      </c>
      <c r="N25" s="27"/>
      <c r="O25" s="27"/>
      <c r="P25" s="27"/>
      <c r="Q25" s="27"/>
      <c r="R25" s="24" t="e">
        <f t="shared" si="3"/>
        <v>#DIV/0!</v>
      </c>
      <c r="S25" s="15"/>
    </row>
    <row r="26" spans="1:19" ht="15" hidden="1" x14ac:dyDescent="0.25">
      <c r="A26" s="112" t="s">
        <v>82</v>
      </c>
      <c r="B26" s="112"/>
      <c r="C26" s="112"/>
      <c r="D26" s="112"/>
      <c r="E26" s="112"/>
      <c r="F26" s="112"/>
      <c r="G26" s="112"/>
      <c r="H26"/>
      <c r="I26"/>
      <c r="J26"/>
      <c r="K26"/>
      <c r="L26"/>
      <c r="M26"/>
      <c r="N26"/>
      <c r="O26"/>
      <c r="P26"/>
      <c r="Q26"/>
      <c r="R26"/>
    </row>
    <row r="27" spans="1:19" ht="15" hidden="1" x14ac:dyDescent="0.25">
      <c r="A27" s="32"/>
      <c r="B27" s="32"/>
      <c r="C27" s="32"/>
      <c r="D27" s="32"/>
      <c r="E27" s="32"/>
      <c r="F27" s="32"/>
      <c r="G27" s="32"/>
      <c r="H27"/>
      <c r="I27"/>
      <c r="J27"/>
      <c r="K27"/>
      <c r="L27"/>
      <c r="M27"/>
      <c r="N27"/>
      <c r="O27"/>
      <c r="P27"/>
      <c r="Q27"/>
      <c r="R27"/>
    </row>
    <row r="28" spans="1:19" ht="15" hidden="1" x14ac:dyDescent="0.25">
      <c r="A28" s="32"/>
      <c r="B28" s="32"/>
      <c r="C28" s="32"/>
      <c r="D28" s="32"/>
      <c r="E28" s="32"/>
      <c r="F28" s="32"/>
      <c r="G28" s="32"/>
      <c r="H28"/>
      <c r="I28"/>
      <c r="J28"/>
      <c r="K28"/>
      <c r="L28"/>
      <c r="M28"/>
      <c r="N28"/>
      <c r="O28"/>
      <c r="P28"/>
      <c r="Q28"/>
      <c r="R28"/>
    </row>
    <row r="29" spans="1:19" ht="15" hidden="1" x14ac:dyDescent="0.25">
      <c r="A29" s="32"/>
      <c r="B29" s="32"/>
      <c r="C29" s="32"/>
      <c r="D29" s="32"/>
      <c r="E29" s="32"/>
      <c r="F29" s="32"/>
      <c r="G29" s="32"/>
      <c r="H29"/>
      <c r="I29"/>
      <c r="J29"/>
      <c r="K29"/>
      <c r="L29"/>
      <c r="M29"/>
      <c r="N29"/>
      <c r="O29"/>
      <c r="P29"/>
      <c r="Q29"/>
      <c r="R29"/>
    </row>
    <row r="30" spans="1:19" hidden="1" x14ac:dyDescent="0.25">
      <c r="A30" s="32"/>
      <c r="B30" s="32"/>
      <c r="C30" s="32"/>
      <c r="D30" s="32"/>
      <c r="E30" s="32"/>
      <c r="F30" s="32"/>
      <c r="G30" s="32"/>
    </row>
    <row r="31" spans="1:19" hidden="1" x14ac:dyDescent="0.25">
      <c r="A31" s="32"/>
      <c r="B31" s="32"/>
      <c r="C31" s="32"/>
      <c r="D31" s="32"/>
      <c r="E31" s="32"/>
      <c r="F31" s="32"/>
      <c r="G31" s="32"/>
    </row>
    <row r="32" spans="1:19" hidden="1" x14ac:dyDescent="0.25">
      <c r="A32" s="22"/>
      <c r="B32" s="22"/>
      <c r="C32" s="22"/>
      <c r="D32" s="22"/>
      <c r="E32" s="22"/>
      <c r="F32" s="22"/>
      <c r="G32" s="22"/>
    </row>
    <row r="33" spans="1:19" ht="38.25" hidden="1" x14ac:dyDescent="0.25">
      <c r="A33" s="94" t="s">
        <v>693</v>
      </c>
      <c r="B33" s="95"/>
      <c r="C33" s="95"/>
      <c r="D33" s="95"/>
      <c r="E33" s="95"/>
      <c r="F33" s="95"/>
      <c r="G33" s="96"/>
      <c r="H33" s="72">
        <v>2025</v>
      </c>
      <c r="I33" s="25" t="s">
        <v>1435</v>
      </c>
      <c r="J33" s="25" t="s">
        <v>1440</v>
      </c>
      <c r="K33" s="25" t="s">
        <v>1441</v>
      </c>
      <c r="L33" s="25" t="s">
        <v>1442</v>
      </c>
      <c r="M33" s="25" t="s">
        <v>1444</v>
      </c>
      <c r="N33" s="25" t="s">
        <v>1435</v>
      </c>
      <c r="O33" s="25" t="s">
        <v>1440</v>
      </c>
      <c r="P33" s="25" t="s">
        <v>1441</v>
      </c>
      <c r="Q33" s="25" t="s">
        <v>1442</v>
      </c>
      <c r="R33" s="25" t="s">
        <v>1445</v>
      </c>
      <c r="S33" s="54" t="s">
        <v>1447</v>
      </c>
    </row>
    <row r="34" spans="1:19" hidden="1" x14ac:dyDescent="0.25">
      <c r="A34" s="97" t="s">
        <v>20</v>
      </c>
      <c r="B34" s="80"/>
      <c r="C34" s="80"/>
      <c r="D34" s="80"/>
      <c r="E34" s="80"/>
      <c r="F34" s="80"/>
      <c r="G34" s="81"/>
      <c r="H34" s="72"/>
      <c r="I34" s="73" t="s">
        <v>1436</v>
      </c>
      <c r="J34" s="73" t="s">
        <v>1437</v>
      </c>
      <c r="K34" s="73" t="s">
        <v>1438</v>
      </c>
      <c r="L34" s="73" t="s">
        <v>1439</v>
      </c>
      <c r="M34" s="73" t="s">
        <v>55</v>
      </c>
      <c r="N34" s="73" t="s">
        <v>1436</v>
      </c>
      <c r="O34" s="73" t="s">
        <v>1437</v>
      </c>
      <c r="P34" s="73" t="s">
        <v>1438</v>
      </c>
      <c r="Q34" s="73" t="s">
        <v>1439</v>
      </c>
      <c r="R34" s="73" t="s">
        <v>55</v>
      </c>
      <c r="S34" s="54"/>
    </row>
    <row r="35" spans="1:19" hidden="1" x14ac:dyDescent="0.25">
      <c r="A35" s="98"/>
      <c r="B35" s="99"/>
      <c r="C35" s="99"/>
      <c r="D35" s="99"/>
      <c r="E35" s="99"/>
      <c r="F35" s="99"/>
      <c r="G35" s="100"/>
      <c r="H35" s="72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54"/>
    </row>
    <row r="36" spans="1:19" ht="38.25" hidden="1" x14ac:dyDescent="0.25">
      <c r="A36" s="10" t="s">
        <v>1</v>
      </c>
      <c r="B36" s="10" t="s">
        <v>1428</v>
      </c>
      <c r="C36" s="23" t="s">
        <v>1446</v>
      </c>
      <c r="D36" s="10" t="s">
        <v>2</v>
      </c>
      <c r="E36" s="10" t="s">
        <v>3</v>
      </c>
      <c r="F36" s="10" t="s">
        <v>4</v>
      </c>
      <c r="G36" s="10" t="s">
        <v>5</v>
      </c>
      <c r="H36" s="23" t="s">
        <v>1433</v>
      </c>
      <c r="I36" s="23" t="s">
        <v>1434</v>
      </c>
      <c r="J36" s="23" t="s">
        <v>1434</v>
      </c>
      <c r="K36" s="23" t="s">
        <v>1434</v>
      </c>
      <c r="L36" s="23" t="s">
        <v>1434</v>
      </c>
      <c r="M36" s="23" t="s">
        <v>1443</v>
      </c>
      <c r="N36" s="23" t="s">
        <v>1448</v>
      </c>
      <c r="O36" s="23" t="s">
        <v>1448</v>
      </c>
      <c r="P36" s="23" t="s">
        <v>1448</v>
      </c>
      <c r="Q36" s="23" t="s">
        <v>1448</v>
      </c>
      <c r="R36" s="23" t="s">
        <v>1449</v>
      </c>
      <c r="S36" s="54"/>
    </row>
    <row r="37" spans="1:19" ht="38.25" hidden="1" x14ac:dyDescent="0.25">
      <c r="A37" s="75" t="s">
        <v>729</v>
      </c>
      <c r="B37" s="28"/>
      <c r="C37" s="28"/>
      <c r="D37" s="4" t="s">
        <v>730</v>
      </c>
      <c r="E37" s="4" t="s">
        <v>731</v>
      </c>
      <c r="F37" s="4" t="s">
        <v>732</v>
      </c>
      <c r="G37" s="4" t="s">
        <v>733</v>
      </c>
      <c r="H37" s="28"/>
      <c r="I37" s="27"/>
      <c r="J37" s="27"/>
      <c r="K37" s="27"/>
      <c r="L37" s="27"/>
      <c r="M37" s="24" t="e">
        <f>IF(SUM(I37:L37)=H37,SUM(I37:L37)*100%/H37,"Dato erroneo no cumple con la meta Absoluta (establecida)")</f>
        <v>#DIV/0!</v>
      </c>
      <c r="N37" s="27"/>
      <c r="O37" s="27"/>
      <c r="P37" s="27"/>
      <c r="Q37" s="27"/>
      <c r="R37" s="24" t="e">
        <f>SUM(N37:Q37)*100%/H37</f>
        <v>#DIV/0!</v>
      </c>
      <c r="S37" s="15"/>
    </row>
    <row r="38" spans="1:19" ht="51" hidden="1" x14ac:dyDescent="0.25">
      <c r="A38" s="75"/>
      <c r="B38" s="28"/>
      <c r="C38" s="28"/>
      <c r="D38" s="4" t="s">
        <v>734</v>
      </c>
      <c r="E38" s="4" t="s">
        <v>735</v>
      </c>
      <c r="F38" s="4" t="s">
        <v>736</v>
      </c>
      <c r="G38" s="4" t="s">
        <v>737</v>
      </c>
      <c r="H38" s="28"/>
      <c r="I38" s="27"/>
      <c r="J38" s="27"/>
      <c r="K38" s="27"/>
      <c r="L38" s="27"/>
      <c r="M38" s="24" t="e">
        <f t="shared" ref="M38:M49" si="4">IF(SUM(I38:L38)=H38,SUM(I38:L38)*100%/H38,"Dato erroneo no cumple con la meta Absoluta (establecida)")</f>
        <v>#DIV/0!</v>
      </c>
      <c r="N38" s="27"/>
      <c r="O38" s="27"/>
      <c r="P38" s="27"/>
      <c r="Q38" s="27"/>
      <c r="R38" s="24" t="e">
        <f t="shared" ref="R38:R49" si="5">SUM(N38:Q38)*100%/H38</f>
        <v>#DIV/0!</v>
      </c>
      <c r="S38" s="15"/>
    </row>
    <row r="39" spans="1:19" ht="38.25" hidden="1" x14ac:dyDescent="0.25">
      <c r="A39" s="75"/>
      <c r="B39" s="28"/>
      <c r="C39" s="28"/>
      <c r="D39" s="4" t="s">
        <v>738</v>
      </c>
      <c r="E39" s="4" t="s">
        <v>739</v>
      </c>
      <c r="F39" s="4" t="s">
        <v>740</v>
      </c>
      <c r="G39" s="4" t="s">
        <v>741</v>
      </c>
      <c r="H39" s="28"/>
      <c r="I39" s="27"/>
      <c r="J39" s="27"/>
      <c r="K39" s="27"/>
      <c r="L39" s="27"/>
      <c r="M39" s="24" t="e">
        <f t="shared" si="4"/>
        <v>#DIV/0!</v>
      </c>
      <c r="N39" s="27"/>
      <c r="O39" s="27"/>
      <c r="P39" s="27"/>
      <c r="Q39" s="27"/>
      <c r="R39" s="24" t="e">
        <f t="shared" si="5"/>
        <v>#DIV/0!</v>
      </c>
      <c r="S39" s="15"/>
    </row>
    <row r="40" spans="1:19" ht="38.25" hidden="1" x14ac:dyDescent="0.25">
      <c r="A40" s="75"/>
      <c r="B40" s="28"/>
      <c r="C40" s="28"/>
      <c r="D40" s="4" t="s">
        <v>742</v>
      </c>
      <c r="E40" s="4" t="s">
        <v>743</v>
      </c>
      <c r="F40" s="4" t="s">
        <v>744</v>
      </c>
      <c r="G40" s="4" t="s">
        <v>745</v>
      </c>
      <c r="H40" s="28"/>
      <c r="I40" s="27"/>
      <c r="J40" s="27"/>
      <c r="K40" s="27"/>
      <c r="L40" s="27"/>
      <c r="M40" s="24" t="e">
        <f t="shared" si="4"/>
        <v>#DIV/0!</v>
      </c>
      <c r="N40" s="27"/>
      <c r="O40" s="27"/>
      <c r="P40" s="27"/>
      <c r="Q40" s="27"/>
      <c r="R40" s="24" t="e">
        <f t="shared" si="5"/>
        <v>#DIV/0!</v>
      </c>
      <c r="S40" s="15"/>
    </row>
    <row r="41" spans="1:19" ht="63.75" hidden="1" x14ac:dyDescent="0.25">
      <c r="A41" s="75"/>
      <c r="B41" s="28"/>
      <c r="C41" s="28"/>
      <c r="D41" s="4" t="s">
        <v>746</v>
      </c>
      <c r="E41" s="4" t="s">
        <v>747</v>
      </c>
      <c r="F41" s="4" t="s">
        <v>748</v>
      </c>
      <c r="G41" s="4" t="s">
        <v>741</v>
      </c>
      <c r="H41" s="28"/>
      <c r="I41" s="27"/>
      <c r="J41" s="27"/>
      <c r="K41" s="27"/>
      <c r="L41" s="27"/>
      <c r="M41" s="24" t="e">
        <f t="shared" si="4"/>
        <v>#DIV/0!</v>
      </c>
      <c r="N41" s="27"/>
      <c r="O41" s="27"/>
      <c r="P41" s="27"/>
      <c r="Q41" s="27"/>
      <c r="R41" s="24" t="e">
        <f t="shared" si="5"/>
        <v>#DIV/0!</v>
      </c>
      <c r="S41" s="15"/>
    </row>
    <row r="42" spans="1:19" ht="25.5" hidden="1" x14ac:dyDescent="0.25">
      <c r="A42" s="75"/>
      <c r="B42" s="28"/>
      <c r="C42" s="28"/>
      <c r="D42" s="4" t="s">
        <v>749</v>
      </c>
      <c r="E42" s="4" t="s">
        <v>750</v>
      </c>
      <c r="F42" s="4" t="s">
        <v>751</v>
      </c>
      <c r="G42" s="4" t="s">
        <v>752</v>
      </c>
      <c r="H42" s="28"/>
      <c r="I42" s="27"/>
      <c r="J42" s="27"/>
      <c r="K42" s="27"/>
      <c r="L42" s="27"/>
      <c r="M42" s="24" t="e">
        <f t="shared" si="4"/>
        <v>#DIV/0!</v>
      </c>
      <c r="N42" s="27"/>
      <c r="O42" s="27"/>
      <c r="P42" s="27"/>
      <c r="Q42" s="27"/>
      <c r="R42" s="24" t="e">
        <f t="shared" si="5"/>
        <v>#DIV/0!</v>
      </c>
      <c r="S42" s="15"/>
    </row>
    <row r="43" spans="1:19" ht="25.5" hidden="1" x14ac:dyDescent="0.25">
      <c r="A43" s="75"/>
      <c r="B43" s="28"/>
      <c r="C43" s="28"/>
      <c r="D43" s="4" t="s">
        <v>753</v>
      </c>
      <c r="E43" s="4" t="s">
        <v>754</v>
      </c>
      <c r="F43" s="4" t="s">
        <v>755</v>
      </c>
      <c r="G43" s="4" t="s">
        <v>756</v>
      </c>
      <c r="H43" s="28"/>
      <c r="I43" s="27"/>
      <c r="J43" s="27"/>
      <c r="K43" s="27"/>
      <c r="L43" s="27"/>
      <c r="M43" s="24" t="e">
        <f t="shared" si="4"/>
        <v>#DIV/0!</v>
      </c>
      <c r="N43" s="27"/>
      <c r="O43" s="27"/>
      <c r="P43" s="27"/>
      <c r="Q43" s="27"/>
      <c r="R43" s="24" t="e">
        <f t="shared" si="5"/>
        <v>#DIV/0!</v>
      </c>
      <c r="S43" s="15"/>
    </row>
    <row r="44" spans="1:19" ht="51" hidden="1" x14ac:dyDescent="0.25">
      <c r="A44" s="75"/>
      <c r="B44" s="28"/>
      <c r="C44" s="28"/>
      <c r="D44" s="4" t="s">
        <v>757</v>
      </c>
      <c r="E44" s="4" t="s">
        <v>758</v>
      </c>
      <c r="F44" s="4" t="s">
        <v>759</v>
      </c>
      <c r="G44" s="4" t="s">
        <v>760</v>
      </c>
      <c r="H44" s="28"/>
      <c r="I44" s="27"/>
      <c r="J44" s="27"/>
      <c r="K44" s="27"/>
      <c r="L44" s="27"/>
      <c r="M44" s="24" t="e">
        <f t="shared" si="4"/>
        <v>#DIV/0!</v>
      </c>
      <c r="N44" s="27"/>
      <c r="O44" s="27"/>
      <c r="P44" s="27"/>
      <c r="Q44" s="27"/>
      <c r="R44" s="24" t="e">
        <f t="shared" si="5"/>
        <v>#DIV/0!</v>
      </c>
      <c r="S44" s="15"/>
    </row>
    <row r="45" spans="1:19" ht="25.5" hidden="1" x14ac:dyDescent="0.25">
      <c r="A45" s="75"/>
      <c r="B45" s="28"/>
      <c r="C45" s="28"/>
      <c r="D45" s="4" t="s">
        <v>761</v>
      </c>
      <c r="E45" s="4" t="s">
        <v>762</v>
      </c>
      <c r="F45" s="4" t="s">
        <v>763</v>
      </c>
      <c r="G45" s="4" t="s">
        <v>764</v>
      </c>
      <c r="H45" s="28"/>
      <c r="I45" s="27"/>
      <c r="J45" s="27"/>
      <c r="K45" s="27"/>
      <c r="L45" s="27"/>
      <c r="M45" s="24" t="e">
        <f t="shared" si="4"/>
        <v>#DIV/0!</v>
      </c>
      <c r="N45" s="27"/>
      <c r="O45" s="27"/>
      <c r="P45" s="27"/>
      <c r="Q45" s="27"/>
      <c r="R45" s="24" t="e">
        <f t="shared" si="5"/>
        <v>#DIV/0!</v>
      </c>
      <c r="S45" s="15"/>
    </row>
    <row r="46" spans="1:19" ht="15" hidden="1" x14ac:dyDescent="0.25">
      <c r="A46" s="75"/>
      <c r="B46" s="28"/>
      <c r="C46" s="28"/>
      <c r="D46" s="4" t="s">
        <v>765</v>
      </c>
      <c r="E46" s="4" t="s">
        <v>766</v>
      </c>
      <c r="F46" s="4" t="s">
        <v>767</v>
      </c>
      <c r="G46" s="4" t="s">
        <v>756</v>
      </c>
      <c r="H46" s="28"/>
      <c r="I46" s="27"/>
      <c r="J46" s="27"/>
      <c r="K46" s="27"/>
      <c r="L46" s="27"/>
      <c r="M46" s="24" t="e">
        <f t="shared" si="4"/>
        <v>#DIV/0!</v>
      </c>
      <c r="N46" s="27"/>
      <c r="O46" s="27"/>
      <c r="P46" s="27"/>
      <c r="Q46" s="27"/>
      <c r="R46" s="24" t="e">
        <f t="shared" si="5"/>
        <v>#DIV/0!</v>
      </c>
      <c r="S46" s="15"/>
    </row>
    <row r="47" spans="1:19" ht="25.5" hidden="1" x14ac:dyDescent="0.25">
      <c r="A47" s="75"/>
      <c r="B47" s="28"/>
      <c r="C47" s="28"/>
      <c r="D47" s="4" t="s">
        <v>768</v>
      </c>
      <c r="E47" s="4" t="s">
        <v>769</v>
      </c>
      <c r="F47" s="4" t="s">
        <v>770</v>
      </c>
      <c r="G47" s="4" t="s">
        <v>771</v>
      </c>
      <c r="H47" s="28"/>
      <c r="I47" s="27"/>
      <c r="J47" s="27"/>
      <c r="K47" s="27"/>
      <c r="L47" s="27"/>
      <c r="M47" s="24" t="e">
        <f t="shared" si="4"/>
        <v>#DIV/0!</v>
      </c>
      <c r="N47" s="27"/>
      <c r="O47" s="27"/>
      <c r="P47" s="27"/>
      <c r="Q47" s="27"/>
      <c r="R47" s="24" t="e">
        <f t="shared" si="5"/>
        <v>#DIV/0!</v>
      </c>
      <c r="S47" s="15"/>
    </row>
    <row r="48" spans="1:19" ht="51" hidden="1" x14ac:dyDescent="0.25">
      <c r="A48" s="75"/>
      <c r="B48" s="28"/>
      <c r="C48" s="28"/>
      <c r="D48" s="4" t="s">
        <v>772</v>
      </c>
      <c r="E48" s="4" t="s">
        <v>750</v>
      </c>
      <c r="F48" s="4" t="s">
        <v>751</v>
      </c>
      <c r="G48" s="4" t="s">
        <v>773</v>
      </c>
      <c r="H48" s="28"/>
      <c r="I48" s="27"/>
      <c r="J48" s="27"/>
      <c r="K48" s="27"/>
      <c r="L48" s="27"/>
      <c r="M48" s="24" t="e">
        <f t="shared" si="4"/>
        <v>#DIV/0!</v>
      </c>
      <c r="N48" s="27"/>
      <c r="O48" s="27"/>
      <c r="P48" s="27"/>
      <c r="Q48" s="27"/>
      <c r="R48" s="24" t="e">
        <f t="shared" si="5"/>
        <v>#DIV/0!</v>
      </c>
      <c r="S48" s="15"/>
    </row>
    <row r="49" spans="1:21" ht="63.75" hidden="1" x14ac:dyDescent="0.25">
      <c r="A49" s="75"/>
      <c r="B49" s="28"/>
      <c r="C49" s="28"/>
      <c r="D49" s="4" t="s">
        <v>774</v>
      </c>
      <c r="E49" s="4" t="s">
        <v>769</v>
      </c>
      <c r="F49" s="4" t="s">
        <v>775</v>
      </c>
      <c r="G49" s="4" t="s">
        <v>776</v>
      </c>
      <c r="H49" s="28"/>
      <c r="I49" s="27"/>
      <c r="J49" s="27"/>
      <c r="K49" s="27"/>
      <c r="L49" s="27"/>
      <c r="M49" s="24" t="e">
        <f t="shared" si="4"/>
        <v>#DIV/0!</v>
      </c>
      <c r="N49" s="27"/>
      <c r="O49" s="27"/>
      <c r="P49" s="27"/>
      <c r="Q49" s="27"/>
      <c r="R49" s="24" t="e">
        <f t="shared" si="5"/>
        <v>#DIV/0!</v>
      </c>
      <c r="S49" s="15"/>
    </row>
    <row r="50" spans="1:21" ht="15" hidden="1" x14ac:dyDescent="0.25">
      <c r="A50" s="106" t="s">
        <v>84</v>
      </c>
      <c r="B50" s="106"/>
      <c r="C50" s="106"/>
      <c r="D50" s="106"/>
      <c r="E50" s="106"/>
      <c r="F50" s="106"/>
      <c r="G50" s="106"/>
      <c r="H50"/>
      <c r="I50"/>
      <c r="J50"/>
      <c r="K50"/>
      <c r="L50"/>
      <c r="M50"/>
      <c r="N50"/>
      <c r="O50"/>
      <c r="P50"/>
      <c r="Q50"/>
      <c r="R50"/>
      <c r="S50"/>
      <c r="T50"/>
      <c r="U50"/>
    </row>
    <row r="51" spans="1:21" ht="15" hidden="1" x14ac:dyDescent="0.25">
      <c r="A51" s="33"/>
      <c r="B51" s="33"/>
      <c r="C51" s="33"/>
      <c r="D51" s="33"/>
      <c r="E51" s="33"/>
      <c r="F51" s="33"/>
      <c r="G51" s="33"/>
      <c r="H51"/>
      <c r="I51"/>
      <c r="J51"/>
      <c r="K51"/>
      <c r="L51"/>
      <c r="M51"/>
      <c r="N51"/>
      <c r="O51"/>
      <c r="P51"/>
      <c r="Q51"/>
      <c r="R51"/>
      <c r="S51"/>
      <c r="T51"/>
      <c r="U51"/>
    </row>
    <row r="52" spans="1:21" ht="15" hidden="1" x14ac:dyDescent="0.25">
      <c r="A52" s="33"/>
      <c r="B52" s="33"/>
      <c r="C52" s="33"/>
      <c r="D52" s="33"/>
      <c r="E52" s="33"/>
      <c r="F52" s="33"/>
      <c r="G52" s="33"/>
      <c r="H52"/>
      <c r="I52"/>
      <c r="J52"/>
      <c r="K52"/>
      <c r="L52"/>
      <c r="M52"/>
      <c r="N52"/>
      <c r="O52"/>
      <c r="P52"/>
      <c r="Q52"/>
      <c r="R52"/>
      <c r="S52"/>
      <c r="T52"/>
      <c r="U52"/>
    </row>
    <row r="53" spans="1:21" hidden="1" x14ac:dyDescent="0.25">
      <c r="A53" s="33"/>
      <c r="B53" s="33"/>
      <c r="C53" s="33"/>
      <c r="D53" s="33"/>
      <c r="E53" s="33"/>
      <c r="F53" s="33"/>
      <c r="G53" s="33"/>
    </row>
    <row r="54" spans="1:21" hidden="1" x14ac:dyDescent="0.25">
      <c r="A54" s="33"/>
      <c r="B54" s="33"/>
      <c r="C54" s="33"/>
      <c r="D54" s="33"/>
      <c r="E54" s="33"/>
      <c r="F54" s="33"/>
      <c r="G54" s="33"/>
    </row>
    <row r="55" spans="1:21" hidden="1" x14ac:dyDescent="0.25">
      <c r="A55" s="33"/>
      <c r="B55" s="33"/>
      <c r="C55" s="33"/>
      <c r="D55" s="33"/>
      <c r="E55" s="33"/>
      <c r="F55" s="33"/>
      <c r="G55" s="33"/>
    </row>
    <row r="56" spans="1:21" hidden="1" x14ac:dyDescent="0.25">
      <c r="A56" s="22"/>
      <c r="B56" s="22"/>
      <c r="C56" s="22"/>
      <c r="D56" s="22"/>
      <c r="E56" s="22"/>
      <c r="F56" s="22"/>
      <c r="G56" s="22"/>
    </row>
    <row r="57" spans="1:21" ht="38.25" hidden="1" x14ac:dyDescent="0.25">
      <c r="A57" s="94" t="s">
        <v>693</v>
      </c>
      <c r="B57" s="95"/>
      <c r="C57" s="95"/>
      <c r="D57" s="95"/>
      <c r="E57" s="95"/>
      <c r="F57" s="95"/>
      <c r="G57" s="96"/>
      <c r="H57" s="72">
        <v>2025</v>
      </c>
      <c r="I57" s="25" t="s">
        <v>1435</v>
      </c>
      <c r="J57" s="25" t="s">
        <v>1440</v>
      </c>
      <c r="K57" s="25" t="s">
        <v>1441</v>
      </c>
      <c r="L57" s="25" t="s">
        <v>1442</v>
      </c>
      <c r="M57" s="25" t="s">
        <v>1444</v>
      </c>
      <c r="N57" s="25" t="s">
        <v>1435</v>
      </c>
      <c r="O57" s="25" t="s">
        <v>1440</v>
      </c>
      <c r="P57" s="25" t="s">
        <v>1441</v>
      </c>
      <c r="Q57" s="25" t="s">
        <v>1442</v>
      </c>
      <c r="R57" s="25" t="s">
        <v>1445</v>
      </c>
      <c r="S57" s="54" t="s">
        <v>1447</v>
      </c>
    </row>
    <row r="58" spans="1:21" hidden="1" x14ac:dyDescent="0.25">
      <c r="A58" s="97" t="s">
        <v>21</v>
      </c>
      <c r="B58" s="80"/>
      <c r="C58" s="80"/>
      <c r="D58" s="80"/>
      <c r="E58" s="80"/>
      <c r="F58" s="80"/>
      <c r="G58" s="81"/>
      <c r="H58" s="72"/>
      <c r="I58" s="73" t="s">
        <v>1436</v>
      </c>
      <c r="J58" s="73" t="s">
        <v>1437</v>
      </c>
      <c r="K58" s="73" t="s">
        <v>1438</v>
      </c>
      <c r="L58" s="73" t="s">
        <v>1439</v>
      </c>
      <c r="M58" s="73" t="s">
        <v>55</v>
      </c>
      <c r="N58" s="73" t="s">
        <v>1436</v>
      </c>
      <c r="O58" s="73" t="s">
        <v>1437</v>
      </c>
      <c r="P58" s="73" t="s">
        <v>1438</v>
      </c>
      <c r="Q58" s="73" t="s">
        <v>1439</v>
      </c>
      <c r="R58" s="73" t="s">
        <v>55</v>
      </c>
      <c r="S58" s="54"/>
    </row>
    <row r="59" spans="1:21" hidden="1" x14ac:dyDescent="0.25">
      <c r="A59" s="98"/>
      <c r="B59" s="99"/>
      <c r="C59" s="99"/>
      <c r="D59" s="99"/>
      <c r="E59" s="99"/>
      <c r="F59" s="99"/>
      <c r="G59" s="100"/>
      <c r="H59" s="72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54"/>
    </row>
    <row r="60" spans="1:21" ht="38.25" hidden="1" x14ac:dyDescent="0.25">
      <c r="A60" s="10" t="s">
        <v>1</v>
      </c>
      <c r="B60" s="10" t="s">
        <v>1428</v>
      </c>
      <c r="C60" s="23" t="s">
        <v>1446</v>
      </c>
      <c r="D60" s="10" t="s">
        <v>2</v>
      </c>
      <c r="E60" s="10" t="s">
        <v>3</v>
      </c>
      <c r="F60" s="10" t="s">
        <v>4</v>
      </c>
      <c r="G60" s="10" t="s">
        <v>5</v>
      </c>
      <c r="H60" s="23" t="s">
        <v>1433</v>
      </c>
      <c r="I60" s="23" t="s">
        <v>1434</v>
      </c>
      <c r="J60" s="23" t="s">
        <v>1434</v>
      </c>
      <c r="K60" s="23" t="s">
        <v>1434</v>
      </c>
      <c r="L60" s="23" t="s">
        <v>1434</v>
      </c>
      <c r="M60" s="23" t="s">
        <v>1443</v>
      </c>
      <c r="N60" s="23" t="s">
        <v>1448</v>
      </c>
      <c r="O60" s="23" t="s">
        <v>1448</v>
      </c>
      <c r="P60" s="23" t="s">
        <v>1448</v>
      </c>
      <c r="Q60" s="23" t="s">
        <v>1448</v>
      </c>
      <c r="R60" s="23" t="s">
        <v>1449</v>
      </c>
      <c r="S60" s="54"/>
    </row>
    <row r="61" spans="1:21" ht="38.25" hidden="1" x14ac:dyDescent="0.25">
      <c r="A61" s="75" t="s">
        <v>777</v>
      </c>
      <c r="B61" s="28"/>
      <c r="C61" s="28"/>
      <c r="D61" s="4" t="s">
        <v>778</v>
      </c>
      <c r="E61" s="4" t="s">
        <v>779</v>
      </c>
      <c r="F61" s="4" t="s">
        <v>780</v>
      </c>
      <c r="G61" s="4" t="s">
        <v>781</v>
      </c>
      <c r="H61" s="28"/>
      <c r="I61" s="27"/>
      <c r="J61" s="27"/>
      <c r="K61" s="27"/>
      <c r="L61" s="27"/>
      <c r="M61" s="24" t="e">
        <f>IF(SUM(I61:L61)=H61,SUM(I61:L61)*100%/H61,"Dato erroneo no cumple con la meta Absoluta (establecida)")</f>
        <v>#DIV/0!</v>
      </c>
      <c r="N61" s="27"/>
      <c r="O61" s="27"/>
      <c r="P61" s="27"/>
      <c r="Q61" s="27"/>
      <c r="R61" s="24" t="e">
        <f>SUM(N61:Q61)*100%/H61</f>
        <v>#DIV/0!</v>
      </c>
      <c r="S61" s="15"/>
    </row>
    <row r="62" spans="1:21" ht="38.25" hidden="1" x14ac:dyDescent="0.25">
      <c r="A62" s="75"/>
      <c r="B62" s="28"/>
      <c r="C62" s="28"/>
      <c r="D62" s="4" t="s">
        <v>782</v>
      </c>
      <c r="E62" s="4" t="s">
        <v>783</v>
      </c>
      <c r="F62" s="4" t="s">
        <v>784</v>
      </c>
      <c r="G62" s="4" t="s">
        <v>785</v>
      </c>
      <c r="H62" s="28"/>
      <c r="I62" s="27"/>
      <c r="J62" s="27"/>
      <c r="K62" s="27"/>
      <c r="L62" s="27"/>
      <c r="M62" s="24" t="e">
        <f t="shared" ref="M62:M72" si="6">IF(SUM(I62:L62)=H62,SUM(I62:L62)*100%/H62,"Dato erroneo no cumple con la meta Absoluta (establecida)")</f>
        <v>#DIV/0!</v>
      </c>
      <c r="N62" s="27"/>
      <c r="O62" s="27"/>
      <c r="P62" s="27"/>
      <c r="Q62" s="27"/>
      <c r="R62" s="24" t="e">
        <f t="shared" ref="R62:R72" si="7">SUM(N62:Q62)*100%/H62</f>
        <v>#DIV/0!</v>
      </c>
      <c r="S62" s="15"/>
    </row>
    <row r="63" spans="1:21" ht="51" hidden="1" x14ac:dyDescent="0.25">
      <c r="A63" s="75"/>
      <c r="B63" s="28"/>
      <c r="C63" s="28"/>
      <c r="D63" s="4" t="s">
        <v>786</v>
      </c>
      <c r="E63" s="4" t="s">
        <v>787</v>
      </c>
      <c r="F63" s="4" t="s">
        <v>788</v>
      </c>
      <c r="G63" s="4" t="s">
        <v>789</v>
      </c>
      <c r="H63" s="28"/>
      <c r="I63" s="27"/>
      <c r="J63" s="27"/>
      <c r="K63" s="27"/>
      <c r="L63" s="27"/>
      <c r="M63" s="24" t="e">
        <f t="shared" si="6"/>
        <v>#DIV/0!</v>
      </c>
      <c r="N63" s="27"/>
      <c r="O63" s="27"/>
      <c r="P63" s="27"/>
      <c r="Q63" s="27"/>
      <c r="R63" s="24" t="e">
        <f t="shared" si="7"/>
        <v>#DIV/0!</v>
      </c>
      <c r="S63" s="15"/>
    </row>
    <row r="64" spans="1:21" ht="51" hidden="1" x14ac:dyDescent="0.25">
      <c r="A64" s="75"/>
      <c r="B64" s="28"/>
      <c r="C64" s="28"/>
      <c r="D64" s="4" t="s">
        <v>790</v>
      </c>
      <c r="E64" s="4" t="s">
        <v>791</v>
      </c>
      <c r="F64" s="4" t="s">
        <v>792</v>
      </c>
      <c r="G64" s="4" t="s">
        <v>793</v>
      </c>
      <c r="H64" s="28"/>
      <c r="I64" s="27"/>
      <c r="J64" s="27"/>
      <c r="K64" s="27"/>
      <c r="L64" s="27"/>
      <c r="M64" s="24" t="e">
        <f t="shared" si="6"/>
        <v>#DIV/0!</v>
      </c>
      <c r="N64" s="27"/>
      <c r="O64" s="27"/>
      <c r="P64" s="27"/>
      <c r="Q64" s="27"/>
      <c r="R64" s="24" t="e">
        <f t="shared" si="7"/>
        <v>#DIV/0!</v>
      </c>
      <c r="S64" s="15"/>
    </row>
    <row r="65" spans="1:19" ht="76.5" hidden="1" x14ac:dyDescent="0.25">
      <c r="A65" s="75"/>
      <c r="B65" s="28"/>
      <c r="C65" s="28"/>
      <c r="D65" s="4" t="s">
        <v>794</v>
      </c>
      <c r="E65" s="4" t="s">
        <v>795</v>
      </c>
      <c r="F65" s="4" t="s">
        <v>796</v>
      </c>
      <c r="G65" s="4" t="s">
        <v>797</v>
      </c>
      <c r="H65" s="28"/>
      <c r="I65" s="27"/>
      <c r="J65" s="27"/>
      <c r="K65" s="27"/>
      <c r="L65" s="27"/>
      <c r="M65" s="24" t="e">
        <f t="shared" si="6"/>
        <v>#DIV/0!</v>
      </c>
      <c r="N65" s="27"/>
      <c r="O65" s="27"/>
      <c r="P65" s="27"/>
      <c r="Q65" s="27"/>
      <c r="R65" s="24" t="e">
        <f t="shared" si="7"/>
        <v>#DIV/0!</v>
      </c>
      <c r="S65" s="15"/>
    </row>
    <row r="66" spans="1:19" ht="63.75" hidden="1" x14ac:dyDescent="0.25">
      <c r="A66" s="75"/>
      <c r="B66" s="28"/>
      <c r="C66" s="28"/>
      <c r="D66" s="4" t="s">
        <v>798</v>
      </c>
      <c r="E66" s="4" t="s">
        <v>799</v>
      </c>
      <c r="F66" s="4" t="s">
        <v>800</v>
      </c>
      <c r="G66" s="4" t="s">
        <v>801</v>
      </c>
      <c r="H66" s="28"/>
      <c r="I66" s="27"/>
      <c r="J66" s="27"/>
      <c r="K66" s="27"/>
      <c r="L66" s="27"/>
      <c r="M66" s="24" t="e">
        <f t="shared" si="6"/>
        <v>#DIV/0!</v>
      </c>
      <c r="N66" s="27"/>
      <c r="O66" s="27"/>
      <c r="P66" s="27"/>
      <c r="Q66" s="27"/>
      <c r="R66" s="24" t="e">
        <f t="shared" si="7"/>
        <v>#DIV/0!</v>
      </c>
      <c r="S66" s="15"/>
    </row>
    <row r="67" spans="1:19" ht="25.5" hidden="1" x14ac:dyDescent="0.25">
      <c r="A67" s="75"/>
      <c r="B67" s="28"/>
      <c r="C67" s="28"/>
      <c r="D67" s="4" t="s">
        <v>802</v>
      </c>
      <c r="E67" s="4" t="s">
        <v>803</v>
      </c>
      <c r="F67" s="4" t="s">
        <v>804</v>
      </c>
      <c r="G67" s="4" t="s">
        <v>805</v>
      </c>
      <c r="H67" s="28"/>
      <c r="I67" s="27"/>
      <c r="J67" s="27"/>
      <c r="K67" s="27"/>
      <c r="L67" s="27"/>
      <c r="M67" s="24" t="e">
        <f t="shared" si="6"/>
        <v>#DIV/0!</v>
      </c>
      <c r="N67" s="27"/>
      <c r="O67" s="27"/>
      <c r="P67" s="27"/>
      <c r="Q67" s="27"/>
      <c r="R67" s="24" t="e">
        <f t="shared" si="7"/>
        <v>#DIV/0!</v>
      </c>
      <c r="S67" s="15"/>
    </row>
    <row r="68" spans="1:19" ht="25.5" hidden="1" x14ac:dyDescent="0.25">
      <c r="A68" s="75"/>
      <c r="B68" s="28"/>
      <c r="C68" s="28"/>
      <c r="D68" s="4" t="s">
        <v>806</v>
      </c>
      <c r="E68" s="4" t="s">
        <v>807</v>
      </c>
      <c r="F68" s="4" t="s">
        <v>808</v>
      </c>
      <c r="G68" s="4" t="s">
        <v>809</v>
      </c>
      <c r="H68" s="28"/>
      <c r="I68" s="27"/>
      <c r="J68" s="27"/>
      <c r="K68" s="27"/>
      <c r="L68" s="27"/>
      <c r="M68" s="24" t="e">
        <f t="shared" si="6"/>
        <v>#DIV/0!</v>
      </c>
      <c r="N68" s="27"/>
      <c r="O68" s="27"/>
      <c r="P68" s="27"/>
      <c r="Q68" s="27"/>
      <c r="R68" s="24" t="e">
        <f t="shared" si="7"/>
        <v>#DIV/0!</v>
      </c>
      <c r="S68" s="15"/>
    </row>
    <row r="69" spans="1:19" ht="25.5" hidden="1" x14ac:dyDescent="0.25">
      <c r="A69" s="75"/>
      <c r="B69" s="28"/>
      <c r="C69" s="28"/>
      <c r="D69" s="4" t="s">
        <v>810</v>
      </c>
      <c r="E69" s="4" t="s">
        <v>807</v>
      </c>
      <c r="F69" s="4" t="s">
        <v>811</v>
      </c>
      <c r="G69" s="4" t="s">
        <v>812</v>
      </c>
      <c r="H69" s="28"/>
      <c r="I69" s="27"/>
      <c r="J69" s="27"/>
      <c r="K69" s="27"/>
      <c r="L69" s="27"/>
      <c r="M69" s="24" t="e">
        <f t="shared" si="6"/>
        <v>#DIV/0!</v>
      </c>
      <c r="N69" s="27"/>
      <c r="O69" s="27"/>
      <c r="P69" s="27"/>
      <c r="Q69" s="27"/>
      <c r="R69" s="24" t="e">
        <f t="shared" si="7"/>
        <v>#DIV/0!</v>
      </c>
      <c r="S69" s="15"/>
    </row>
    <row r="70" spans="1:19" ht="25.5" hidden="1" x14ac:dyDescent="0.25">
      <c r="A70" s="75"/>
      <c r="B70" s="28"/>
      <c r="C70" s="28"/>
      <c r="D70" s="4" t="s">
        <v>813</v>
      </c>
      <c r="E70" s="4" t="s">
        <v>814</v>
      </c>
      <c r="F70" s="4" t="s">
        <v>815</v>
      </c>
      <c r="G70" s="4" t="s">
        <v>816</v>
      </c>
      <c r="H70" s="28"/>
      <c r="I70" s="27"/>
      <c r="J70" s="27"/>
      <c r="K70" s="27"/>
      <c r="L70" s="27"/>
      <c r="M70" s="24" t="e">
        <f t="shared" si="6"/>
        <v>#DIV/0!</v>
      </c>
      <c r="N70" s="27"/>
      <c r="O70" s="27"/>
      <c r="P70" s="27"/>
      <c r="Q70" s="27"/>
      <c r="R70" s="24" t="e">
        <f t="shared" si="7"/>
        <v>#DIV/0!</v>
      </c>
      <c r="S70" s="15"/>
    </row>
    <row r="71" spans="1:19" ht="51" hidden="1" x14ac:dyDescent="0.25">
      <c r="A71" s="75"/>
      <c r="B71" s="28"/>
      <c r="C71" s="28"/>
      <c r="D71" s="4" t="s">
        <v>817</v>
      </c>
      <c r="E71" s="4" t="s">
        <v>814</v>
      </c>
      <c r="F71" s="4" t="s">
        <v>818</v>
      </c>
      <c r="G71" s="4" t="s">
        <v>819</v>
      </c>
      <c r="H71" s="28"/>
      <c r="I71" s="27"/>
      <c r="J71" s="27"/>
      <c r="K71" s="27"/>
      <c r="L71" s="27"/>
      <c r="M71" s="24" t="e">
        <f t="shared" si="6"/>
        <v>#DIV/0!</v>
      </c>
      <c r="N71" s="27"/>
      <c r="O71" s="27"/>
      <c r="P71" s="27"/>
      <c r="Q71" s="27"/>
      <c r="R71" s="24" t="e">
        <f t="shared" si="7"/>
        <v>#DIV/0!</v>
      </c>
      <c r="S71" s="15"/>
    </row>
    <row r="72" spans="1:19" ht="25.5" hidden="1" x14ac:dyDescent="0.25">
      <c r="A72" s="75"/>
      <c r="B72" s="28"/>
      <c r="C72" s="28"/>
      <c r="D72" s="4" t="s">
        <v>820</v>
      </c>
      <c r="E72" s="4" t="s">
        <v>821</v>
      </c>
      <c r="F72" s="4" t="s">
        <v>822</v>
      </c>
      <c r="G72" s="4" t="s">
        <v>823</v>
      </c>
      <c r="H72" s="28"/>
      <c r="I72" s="27"/>
      <c r="J72" s="27"/>
      <c r="K72" s="27"/>
      <c r="L72" s="27"/>
      <c r="M72" s="24" t="e">
        <f t="shared" si="6"/>
        <v>#DIV/0!</v>
      </c>
      <c r="N72" s="27"/>
      <c r="O72" s="27"/>
      <c r="P72" s="27"/>
      <c r="Q72" s="27"/>
      <c r="R72" s="24" t="e">
        <f t="shared" si="7"/>
        <v>#DIV/0!</v>
      </c>
      <c r="S72" s="15"/>
    </row>
    <row r="73" spans="1:19" ht="15" hidden="1" x14ac:dyDescent="0.25">
      <c r="A73" s="55" t="s">
        <v>824</v>
      </c>
      <c r="B73" s="55"/>
      <c r="C73" s="55"/>
      <c r="D73" s="55"/>
      <c r="E73" s="55"/>
      <c r="F73" s="55"/>
      <c r="G73" s="55"/>
      <c r="H73"/>
      <c r="I73"/>
      <c r="J73"/>
      <c r="K73"/>
      <c r="L73"/>
      <c r="M73"/>
      <c r="N73"/>
      <c r="O73"/>
      <c r="P73"/>
      <c r="Q73"/>
      <c r="R73"/>
      <c r="S73"/>
    </row>
    <row r="74" spans="1:19" ht="15" hidden="1" x14ac:dyDescent="0.25">
      <c r="A74" s="7"/>
      <c r="B74" s="7"/>
      <c r="C74" s="7"/>
      <c r="D74" s="7"/>
      <c r="E74" s="7"/>
      <c r="F74" s="7"/>
      <c r="G74" s="7"/>
      <c r="H74"/>
      <c r="I74"/>
      <c r="J74"/>
      <c r="K74"/>
      <c r="L74"/>
      <c r="M74"/>
      <c r="N74"/>
      <c r="O74"/>
      <c r="P74"/>
      <c r="Q74"/>
      <c r="R74"/>
      <c r="S74"/>
    </row>
    <row r="75" spans="1:19" ht="15" hidden="1" x14ac:dyDescent="0.25">
      <c r="A75" s="7"/>
      <c r="B75" s="7"/>
      <c r="C75" s="7"/>
      <c r="D75" s="7"/>
      <c r="E75" s="7"/>
      <c r="F75" s="7"/>
      <c r="G75" s="7"/>
      <c r="H75"/>
      <c r="I75"/>
      <c r="J75"/>
      <c r="K75"/>
      <c r="L75"/>
      <c r="M75"/>
      <c r="N75"/>
      <c r="O75"/>
      <c r="P75"/>
      <c r="Q75"/>
      <c r="R75"/>
      <c r="S75"/>
    </row>
    <row r="76" spans="1:19" ht="15" hidden="1" x14ac:dyDescent="0.25">
      <c r="A76" s="7"/>
      <c r="B76" s="7"/>
      <c r="C76" s="7"/>
      <c r="D76" s="7"/>
      <c r="E76" s="7"/>
      <c r="F76" s="7"/>
      <c r="G76" s="7"/>
      <c r="H76"/>
      <c r="I76"/>
      <c r="J76"/>
      <c r="K76"/>
      <c r="L76"/>
      <c r="M76"/>
      <c r="N76"/>
      <c r="O76"/>
      <c r="P76"/>
      <c r="Q76"/>
      <c r="R76"/>
      <c r="S76"/>
    </row>
    <row r="77" spans="1:19" ht="15" hidden="1" x14ac:dyDescent="0.25">
      <c r="A77" s="7"/>
      <c r="B77" s="7"/>
      <c r="C77" s="7"/>
      <c r="D77" s="7"/>
      <c r="E77" s="7"/>
      <c r="F77" s="7"/>
      <c r="G77" s="7"/>
      <c r="H77"/>
      <c r="I77"/>
      <c r="J77"/>
      <c r="K77"/>
      <c r="L77"/>
      <c r="M77"/>
      <c r="N77"/>
      <c r="O77"/>
      <c r="P77"/>
      <c r="Q77"/>
      <c r="R77"/>
      <c r="S77"/>
    </row>
    <row r="78" spans="1:19" hidden="1" x14ac:dyDescent="0.25">
      <c r="A78" s="7"/>
      <c r="B78" s="7"/>
      <c r="C78" s="7"/>
      <c r="D78" s="7"/>
      <c r="E78" s="7"/>
      <c r="F78" s="7"/>
      <c r="G78" s="7"/>
    </row>
    <row r="79" spans="1:19" hidden="1" x14ac:dyDescent="0.25">
      <c r="A79" s="7"/>
      <c r="B79" s="7"/>
      <c r="C79" s="7"/>
      <c r="D79" s="7"/>
      <c r="E79" s="7"/>
      <c r="F79" s="7"/>
      <c r="G79" s="7"/>
    </row>
    <row r="80" spans="1:19" hidden="1" x14ac:dyDescent="0.25">
      <c r="A80" s="7"/>
      <c r="B80" s="7"/>
      <c r="C80" s="7"/>
      <c r="D80" s="7"/>
      <c r="E80" s="7"/>
      <c r="F80" s="7"/>
      <c r="G80" s="7"/>
    </row>
    <row r="81" spans="1:19" ht="38.25" hidden="1" x14ac:dyDescent="0.25">
      <c r="A81" s="94" t="s">
        <v>693</v>
      </c>
      <c r="B81" s="95"/>
      <c r="C81" s="95"/>
      <c r="D81" s="95"/>
      <c r="E81" s="95"/>
      <c r="F81" s="95"/>
      <c r="G81" s="96"/>
      <c r="H81" s="72">
        <v>2025</v>
      </c>
      <c r="I81" s="25" t="s">
        <v>1435</v>
      </c>
      <c r="J81" s="25" t="s">
        <v>1440</v>
      </c>
      <c r="K81" s="25" t="s">
        <v>1441</v>
      </c>
      <c r="L81" s="25" t="s">
        <v>1442</v>
      </c>
      <c r="M81" s="25" t="s">
        <v>1444</v>
      </c>
      <c r="N81" s="25" t="s">
        <v>1435</v>
      </c>
      <c r="O81" s="25" t="s">
        <v>1440</v>
      </c>
      <c r="P81" s="25" t="s">
        <v>1441</v>
      </c>
      <c r="Q81" s="25" t="s">
        <v>1442</v>
      </c>
      <c r="R81" s="25" t="s">
        <v>1445</v>
      </c>
      <c r="S81" s="54" t="s">
        <v>1447</v>
      </c>
    </row>
    <row r="82" spans="1:19" hidden="1" x14ac:dyDescent="0.25">
      <c r="A82" s="97" t="s">
        <v>22</v>
      </c>
      <c r="B82" s="80"/>
      <c r="C82" s="80"/>
      <c r="D82" s="80"/>
      <c r="E82" s="80"/>
      <c r="F82" s="80"/>
      <c r="G82" s="81"/>
      <c r="H82" s="72"/>
      <c r="I82" s="73" t="s">
        <v>1436</v>
      </c>
      <c r="J82" s="73" t="s">
        <v>1437</v>
      </c>
      <c r="K82" s="73" t="s">
        <v>1438</v>
      </c>
      <c r="L82" s="73" t="s">
        <v>1439</v>
      </c>
      <c r="M82" s="73" t="s">
        <v>55</v>
      </c>
      <c r="N82" s="73" t="s">
        <v>1436</v>
      </c>
      <c r="O82" s="73" t="s">
        <v>1437</v>
      </c>
      <c r="P82" s="73" t="s">
        <v>1438</v>
      </c>
      <c r="Q82" s="73" t="s">
        <v>1439</v>
      </c>
      <c r="R82" s="73" t="s">
        <v>55</v>
      </c>
      <c r="S82" s="54"/>
    </row>
    <row r="83" spans="1:19" hidden="1" x14ac:dyDescent="0.25">
      <c r="A83" s="98"/>
      <c r="B83" s="99"/>
      <c r="C83" s="99"/>
      <c r="D83" s="99"/>
      <c r="E83" s="99"/>
      <c r="F83" s="99"/>
      <c r="G83" s="100"/>
      <c r="H83" s="72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54"/>
    </row>
    <row r="84" spans="1:19" ht="38.25" hidden="1" x14ac:dyDescent="0.25">
      <c r="A84" s="10" t="s">
        <v>1</v>
      </c>
      <c r="B84" s="10" t="s">
        <v>1428</v>
      </c>
      <c r="C84" s="23" t="s">
        <v>1446</v>
      </c>
      <c r="D84" s="10" t="s">
        <v>2</v>
      </c>
      <c r="E84" s="10" t="s">
        <v>3</v>
      </c>
      <c r="F84" s="10" t="s">
        <v>4</v>
      </c>
      <c r="G84" s="10" t="s">
        <v>5</v>
      </c>
      <c r="H84" s="23" t="s">
        <v>1433</v>
      </c>
      <c r="I84" s="23" t="s">
        <v>1434</v>
      </c>
      <c r="J84" s="23" t="s">
        <v>1434</v>
      </c>
      <c r="K84" s="23" t="s">
        <v>1434</v>
      </c>
      <c r="L84" s="23" t="s">
        <v>1434</v>
      </c>
      <c r="M84" s="23" t="s">
        <v>1443</v>
      </c>
      <c r="N84" s="23" t="s">
        <v>1448</v>
      </c>
      <c r="O84" s="23" t="s">
        <v>1448</v>
      </c>
      <c r="P84" s="23" t="s">
        <v>1448</v>
      </c>
      <c r="Q84" s="23" t="s">
        <v>1448</v>
      </c>
      <c r="R84" s="23" t="s">
        <v>1449</v>
      </c>
      <c r="S84" s="54"/>
    </row>
    <row r="85" spans="1:19" ht="38.25" hidden="1" x14ac:dyDescent="0.25">
      <c r="A85" s="69" t="s">
        <v>825</v>
      </c>
      <c r="B85" s="28"/>
      <c r="C85" s="28"/>
      <c r="D85" s="4" t="s">
        <v>826</v>
      </c>
      <c r="E85" s="4" t="s">
        <v>827</v>
      </c>
      <c r="F85" s="4" t="s">
        <v>828</v>
      </c>
      <c r="G85" s="4" t="s">
        <v>829</v>
      </c>
      <c r="H85" s="28"/>
      <c r="I85" s="27"/>
      <c r="J85" s="27"/>
      <c r="K85" s="27"/>
      <c r="L85" s="27"/>
      <c r="M85" s="24" t="e">
        <f>IF(SUM(I85:L85)=H85,SUM(I85:L85)*100%/H85,"Dato erroneo no cumple con la meta Absoluta (establecida)")</f>
        <v>#DIV/0!</v>
      </c>
      <c r="N85" s="27"/>
      <c r="O85" s="27"/>
      <c r="P85" s="27"/>
      <c r="Q85" s="27"/>
      <c r="R85" s="24" t="e">
        <f>SUM(N85:Q85)*100%/H85</f>
        <v>#DIV/0!</v>
      </c>
      <c r="S85" s="15"/>
    </row>
    <row r="86" spans="1:19" ht="63.75" hidden="1" x14ac:dyDescent="0.25">
      <c r="A86" s="67"/>
      <c r="B86" s="28"/>
      <c r="C86" s="28"/>
      <c r="D86" s="4" t="s">
        <v>830</v>
      </c>
      <c r="E86" s="4" t="s">
        <v>831</v>
      </c>
      <c r="F86" s="4" t="s">
        <v>832</v>
      </c>
      <c r="G86" s="4" t="s">
        <v>833</v>
      </c>
      <c r="H86" s="28"/>
      <c r="I86" s="27"/>
      <c r="J86" s="27"/>
      <c r="K86" s="27"/>
      <c r="L86" s="27"/>
      <c r="M86" s="24" t="e">
        <f t="shared" ref="M86:M100" si="8">IF(SUM(I86:L86)=H86,SUM(I86:L86)*100%/H86,"Dato erroneo no cumple con la meta Absoluta (establecida)")</f>
        <v>#DIV/0!</v>
      </c>
      <c r="N86" s="27"/>
      <c r="O86" s="27"/>
      <c r="P86" s="27"/>
      <c r="Q86" s="27"/>
      <c r="R86" s="24" t="e">
        <f t="shared" ref="R86:R100" si="9">SUM(N86:Q86)*100%/H86</f>
        <v>#DIV/0!</v>
      </c>
      <c r="S86" s="15"/>
    </row>
    <row r="87" spans="1:19" ht="51" hidden="1" x14ac:dyDescent="0.25">
      <c r="A87" s="67"/>
      <c r="B87" s="28"/>
      <c r="C87" s="28"/>
      <c r="D87" s="4" t="s">
        <v>834</v>
      </c>
      <c r="E87" s="4" t="s">
        <v>835</v>
      </c>
      <c r="F87" s="4" t="s">
        <v>836</v>
      </c>
      <c r="G87" s="4" t="s">
        <v>837</v>
      </c>
      <c r="H87" s="28"/>
      <c r="I87" s="27"/>
      <c r="J87" s="27"/>
      <c r="K87" s="27"/>
      <c r="L87" s="27"/>
      <c r="M87" s="24" t="e">
        <f t="shared" si="8"/>
        <v>#DIV/0!</v>
      </c>
      <c r="N87" s="27"/>
      <c r="O87" s="27"/>
      <c r="P87" s="27"/>
      <c r="Q87" s="27"/>
      <c r="R87" s="24" t="e">
        <f t="shared" si="9"/>
        <v>#DIV/0!</v>
      </c>
      <c r="S87" s="15"/>
    </row>
    <row r="88" spans="1:19" ht="38.25" hidden="1" x14ac:dyDescent="0.25">
      <c r="A88" s="67"/>
      <c r="B88" s="28"/>
      <c r="C88" s="28"/>
      <c r="D88" s="4" t="s">
        <v>838</v>
      </c>
      <c r="E88" s="4" t="s">
        <v>839</v>
      </c>
      <c r="F88" s="4" t="s">
        <v>840</v>
      </c>
      <c r="G88" s="4" t="s">
        <v>841</v>
      </c>
      <c r="H88" s="28"/>
      <c r="I88" s="27"/>
      <c r="J88" s="27"/>
      <c r="K88" s="27"/>
      <c r="L88" s="27"/>
      <c r="M88" s="24" t="e">
        <f t="shared" si="8"/>
        <v>#DIV/0!</v>
      </c>
      <c r="N88" s="27"/>
      <c r="O88" s="27"/>
      <c r="P88" s="27"/>
      <c r="Q88" s="27"/>
      <c r="R88" s="24" t="e">
        <f t="shared" si="9"/>
        <v>#DIV/0!</v>
      </c>
      <c r="S88" s="15"/>
    </row>
    <row r="89" spans="1:19" ht="76.5" hidden="1" x14ac:dyDescent="0.25">
      <c r="A89" s="67"/>
      <c r="B89" s="28"/>
      <c r="C89" s="28"/>
      <c r="D89" s="4" t="s">
        <v>842</v>
      </c>
      <c r="E89" s="4" t="s">
        <v>747</v>
      </c>
      <c r="F89" s="4" t="s">
        <v>843</v>
      </c>
      <c r="G89" s="4" t="s">
        <v>844</v>
      </c>
      <c r="H89" s="28"/>
      <c r="I89" s="27"/>
      <c r="J89" s="27"/>
      <c r="K89" s="27"/>
      <c r="L89" s="27"/>
      <c r="M89" s="24" t="e">
        <f t="shared" si="8"/>
        <v>#DIV/0!</v>
      </c>
      <c r="N89" s="27"/>
      <c r="O89" s="27"/>
      <c r="P89" s="27"/>
      <c r="Q89" s="27"/>
      <c r="R89" s="24" t="e">
        <f t="shared" si="9"/>
        <v>#DIV/0!</v>
      </c>
      <c r="S89" s="15"/>
    </row>
    <row r="90" spans="1:19" ht="63.75" hidden="1" x14ac:dyDescent="0.25">
      <c r="A90" s="67"/>
      <c r="B90" s="28"/>
      <c r="C90" s="28"/>
      <c r="D90" s="4" t="s">
        <v>85</v>
      </c>
      <c r="E90" s="4" t="s">
        <v>845</v>
      </c>
      <c r="F90" s="4" t="s">
        <v>86</v>
      </c>
      <c r="G90" s="4" t="s">
        <v>87</v>
      </c>
      <c r="H90" s="28"/>
      <c r="I90" s="27"/>
      <c r="J90" s="27"/>
      <c r="K90" s="27"/>
      <c r="L90" s="27"/>
      <c r="M90" s="24" t="e">
        <f t="shared" si="8"/>
        <v>#DIV/0!</v>
      </c>
      <c r="N90" s="27"/>
      <c r="O90" s="27"/>
      <c r="P90" s="27"/>
      <c r="Q90" s="27"/>
      <c r="R90" s="24" t="e">
        <f t="shared" si="9"/>
        <v>#DIV/0!</v>
      </c>
      <c r="S90" s="15"/>
    </row>
    <row r="91" spans="1:19" ht="38.25" hidden="1" x14ac:dyDescent="0.25">
      <c r="A91" s="67"/>
      <c r="B91" s="28"/>
      <c r="C91" s="28"/>
      <c r="D91" s="4" t="s">
        <v>846</v>
      </c>
      <c r="E91" s="4" t="s">
        <v>847</v>
      </c>
      <c r="F91" s="4" t="s">
        <v>848</v>
      </c>
      <c r="G91" s="4" t="s">
        <v>849</v>
      </c>
      <c r="H91" s="28"/>
      <c r="I91" s="27"/>
      <c r="J91" s="27"/>
      <c r="K91" s="27"/>
      <c r="L91" s="27"/>
      <c r="M91" s="24" t="e">
        <f t="shared" si="8"/>
        <v>#DIV/0!</v>
      </c>
      <c r="N91" s="27"/>
      <c r="O91" s="27"/>
      <c r="P91" s="27"/>
      <c r="Q91" s="27"/>
      <c r="R91" s="24" t="e">
        <f t="shared" si="9"/>
        <v>#DIV/0!</v>
      </c>
      <c r="S91" s="15"/>
    </row>
    <row r="92" spans="1:19" ht="38.25" hidden="1" x14ac:dyDescent="0.25">
      <c r="A92" s="67"/>
      <c r="B92" s="28"/>
      <c r="C92" s="28"/>
      <c r="D92" s="4" t="s">
        <v>850</v>
      </c>
      <c r="E92" s="4" t="s">
        <v>847</v>
      </c>
      <c r="F92" s="4" t="s">
        <v>851</v>
      </c>
      <c r="G92" s="4" t="s">
        <v>849</v>
      </c>
      <c r="H92" s="28"/>
      <c r="I92" s="27"/>
      <c r="J92" s="27"/>
      <c r="K92" s="27"/>
      <c r="L92" s="27"/>
      <c r="M92" s="24" t="e">
        <f t="shared" si="8"/>
        <v>#DIV/0!</v>
      </c>
      <c r="N92" s="27"/>
      <c r="O92" s="27"/>
      <c r="P92" s="27"/>
      <c r="Q92" s="27"/>
      <c r="R92" s="24" t="e">
        <f t="shared" si="9"/>
        <v>#DIV/0!</v>
      </c>
      <c r="S92" s="15"/>
    </row>
    <row r="93" spans="1:19" ht="38.25" hidden="1" x14ac:dyDescent="0.25">
      <c r="A93" s="67"/>
      <c r="B93" s="28"/>
      <c r="C93" s="28"/>
      <c r="D93" s="4" t="s">
        <v>852</v>
      </c>
      <c r="E93" s="4" t="s">
        <v>847</v>
      </c>
      <c r="F93" s="4" t="s">
        <v>853</v>
      </c>
      <c r="G93" s="4" t="s">
        <v>854</v>
      </c>
      <c r="H93" s="28"/>
      <c r="I93" s="27"/>
      <c r="J93" s="27"/>
      <c r="K93" s="27"/>
      <c r="L93" s="27"/>
      <c r="M93" s="24" t="e">
        <f t="shared" si="8"/>
        <v>#DIV/0!</v>
      </c>
      <c r="N93" s="27"/>
      <c r="O93" s="27"/>
      <c r="P93" s="27"/>
      <c r="Q93" s="27"/>
      <c r="R93" s="24" t="e">
        <f t="shared" si="9"/>
        <v>#DIV/0!</v>
      </c>
      <c r="S93" s="15"/>
    </row>
    <row r="94" spans="1:19" ht="38.25" hidden="1" x14ac:dyDescent="0.25">
      <c r="A94" s="67"/>
      <c r="B94" s="28"/>
      <c r="C94" s="28"/>
      <c r="D94" s="4" t="s">
        <v>855</v>
      </c>
      <c r="E94" s="4" t="s">
        <v>847</v>
      </c>
      <c r="F94" s="4" t="s">
        <v>856</v>
      </c>
      <c r="G94" s="4" t="s">
        <v>857</v>
      </c>
      <c r="H94" s="28"/>
      <c r="I94" s="27"/>
      <c r="J94" s="27"/>
      <c r="K94" s="27"/>
      <c r="L94" s="27"/>
      <c r="M94" s="24" t="e">
        <f t="shared" si="8"/>
        <v>#DIV/0!</v>
      </c>
      <c r="N94" s="27"/>
      <c r="O94" s="27"/>
      <c r="P94" s="27"/>
      <c r="Q94" s="27"/>
      <c r="R94" s="24" t="e">
        <f t="shared" si="9"/>
        <v>#DIV/0!</v>
      </c>
      <c r="S94" s="15"/>
    </row>
    <row r="95" spans="1:19" ht="38.25" hidden="1" x14ac:dyDescent="0.25">
      <c r="A95" s="67"/>
      <c r="B95" s="28"/>
      <c r="C95" s="28"/>
      <c r="D95" s="4" t="s">
        <v>858</v>
      </c>
      <c r="E95" s="4" t="s">
        <v>847</v>
      </c>
      <c r="F95" s="4" t="s">
        <v>859</v>
      </c>
      <c r="G95" s="4" t="s">
        <v>857</v>
      </c>
      <c r="H95" s="28"/>
      <c r="I95" s="27"/>
      <c r="J95" s="27"/>
      <c r="K95" s="27"/>
      <c r="L95" s="27"/>
      <c r="M95" s="24" t="e">
        <f t="shared" si="8"/>
        <v>#DIV/0!</v>
      </c>
      <c r="N95" s="27"/>
      <c r="O95" s="27"/>
      <c r="P95" s="27"/>
      <c r="Q95" s="27"/>
      <c r="R95" s="24" t="e">
        <f t="shared" si="9"/>
        <v>#DIV/0!</v>
      </c>
      <c r="S95" s="15"/>
    </row>
    <row r="96" spans="1:19" ht="25.5" hidden="1" x14ac:dyDescent="0.25">
      <c r="A96" s="67"/>
      <c r="B96" s="28"/>
      <c r="C96" s="28"/>
      <c r="D96" s="4" t="s">
        <v>860</v>
      </c>
      <c r="E96" s="4" t="s">
        <v>847</v>
      </c>
      <c r="F96" s="4" t="s">
        <v>861</v>
      </c>
      <c r="G96" s="4" t="s">
        <v>862</v>
      </c>
      <c r="H96" s="28"/>
      <c r="I96" s="27"/>
      <c r="J96" s="27"/>
      <c r="K96" s="27"/>
      <c r="L96" s="27"/>
      <c r="M96" s="24" t="e">
        <f t="shared" si="8"/>
        <v>#DIV/0!</v>
      </c>
      <c r="N96" s="27"/>
      <c r="O96" s="27"/>
      <c r="P96" s="27"/>
      <c r="Q96" s="27"/>
      <c r="R96" s="24" t="e">
        <f t="shared" si="9"/>
        <v>#DIV/0!</v>
      </c>
      <c r="S96" s="15"/>
    </row>
    <row r="97" spans="1:20" ht="102" hidden="1" x14ac:dyDescent="0.25">
      <c r="A97" s="67"/>
      <c r="B97" s="28"/>
      <c r="C97" s="28"/>
      <c r="D97" s="4" t="s">
        <v>863</v>
      </c>
      <c r="E97" s="4" t="s">
        <v>864</v>
      </c>
      <c r="F97" s="4" t="s">
        <v>865</v>
      </c>
      <c r="G97" s="4" t="s">
        <v>866</v>
      </c>
      <c r="H97" s="28"/>
      <c r="I97" s="27"/>
      <c r="J97" s="27"/>
      <c r="K97" s="27"/>
      <c r="L97" s="27"/>
      <c r="M97" s="24" t="e">
        <f t="shared" si="8"/>
        <v>#DIV/0!</v>
      </c>
      <c r="N97" s="27"/>
      <c r="O97" s="27"/>
      <c r="P97" s="27"/>
      <c r="Q97" s="27"/>
      <c r="R97" s="24" t="e">
        <f t="shared" si="9"/>
        <v>#DIV/0!</v>
      </c>
      <c r="S97" s="15"/>
    </row>
    <row r="98" spans="1:20" ht="165.75" hidden="1" x14ac:dyDescent="0.25">
      <c r="A98" s="67"/>
      <c r="B98" s="28"/>
      <c r="C98" s="28"/>
      <c r="D98" s="4" t="s">
        <v>1431</v>
      </c>
      <c r="E98" s="4" t="s">
        <v>867</v>
      </c>
      <c r="F98" s="4" t="s">
        <v>868</v>
      </c>
      <c r="G98" s="4" t="s">
        <v>869</v>
      </c>
      <c r="H98" s="28"/>
      <c r="I98" s="27"/>
      <c r="J98" s="27"/>
      <c r="K98" s="27"/>
      <c r="L98" s="27"/>
      <c r="M98" s="24" t="e">
        <f t="shared" si="8"/>
        <v>#DIV/0!</v>
      </c>
      <c r="N98" s="27"/>
      <c r="O98" s="27"/>
      <c r="P98" s="27"/>
      <c r="Q98" s="27"/>
      <c r="R98" s="24" t="e">
        <f t="shared" si="9"/>
        <v>#DIV/0!</v>
      </c>
      <c r="S98" s="15"/>
    </row>
    <row r="99" spans="1:20" ht="89.25" hidden="1" x14ac:dyDescent="0.25">
      <c r="A99" s="67"/>
      <c r="B99" s="28"/>
      <c r="C99" s="28"/>
      <c r="D99" s="4" t="s">
        <v>870</v>
      </c>
      <c r="E99" s="4" t="s">
        <v>871</v>
      </c>
      <c r="F99" s="4" t="s">
        <v>872</v>
      </c>
      <c r="G99" s="4" t="s">
        <v>873</v>
      </c>
      <c r="H99" s="28"/>
      <c r="I99" s="27"/>
      <c r="J99" s="27"/>
      <c r="K99" s="27"/>
      <c r="L99" s="27"/>
      <c r="M99" s="24" t="e">
        <f t="shared" si="8"/>
        <v>#DIV/0!</v>
      </c>
      <c r="N99" s="27"/>
      <c r="O99" s="27"/>
      <c r="P99" s="27"/>
      <c r="Q99" s="27"/>
      <c r="R99" s="24" t="e">
        <f t="shared" si="9"/>
        <v>#DIV/0!</v>
      </c>
      <c r="S99" s="15"/>
    </row>
    <row r="100" spans="1:20" ht="89.25" hidden="1" x14ac:dyDescent="0.25">
      <c r="A100" s="68"/>
      <c r="B100" s="28"/>
      <c r="C100" s="28"/>
      <c r="D100" s="4" t="s">
        <v>874</v>
      </c>
      <c r="E100" s="4" t="s">
        <v>875</v>
      </c>
      <c r="F100" s="4" t="s">
        <v>876</v>
      </c>
      <c r="G100" s="4" t="s">
        <v>877</v>
      </c>
      <c r="H100" s="28"/>
      <c r="I100" s="27"/>
      <c r="J100" s="27"/>
      <c r="K100" s="27"/>
      <c r="L100" s="27"/>
      <c r="M100" s="24" t="e">
        <f t="shared" si="8"/>
        <v>#DIV/0!</v>
      </c>
      <c r="N100" s="27"/>
      <c r="O100" s="27"/>
      <c r="P100" s="27"/>
      <c r="Q100" s="27"/>
      <c r="R100" s="24" t="e">
        <f t="shared" si="9"/>
        <v>#DIV/0!</v>
      </c>
      <c r="S100" s="15"/>
    </row>
    <row r="101" spans="1:20" ht="15" hidden="1" x14ac:dyDescent="0.25">
      <c r="A101" s="56" t="s">
        <v>23</v>
      </c>
      <c r="B101" s="56"/>
      <c r="C101" s="56"/>
      <c r="D101" s="56"/>
      <c r="E101" s="56"/>
      <c r="F101" s="56"/>
      <c r="G101" s="56"/>
      <c r="H101"/>
      <c r="I101"/>
      <c r="J101"/>
      <c r="K101"/>
      <c r="L101"/>
      <c r="M101"/>
      <c r="N101"/>
      <c r="O101"/>
      <c r="P101"/>
      <c r="Q101"/>
      <c r="R101"/>
      <c r="S101"/>
      <c r="T101"/>
    </row>
    <row r="102" spans="1:20" ht="15" hidden="1" x14ac:dyDescent="0.25">
      <c r="A102" s="7"/>
      <c r="B102" s="7"/>
      <c r="C102" s="7"/>
      <c r="D102" s="7"/>
      <c r="E102" s="7"/>
      <c r="F102" s="7"/>
      <c r="G102" s="7"/>
      <c r="H102"/>
      <c r="I102"/>
      <c r="J102"/>
      <c r="K102"/>
      <c r="L102"/>
      <c r="M102"/>
      <c r="N102"/>
      <c r="O102"/>
      <c r="P102"/>
      <c r="Q102"/>
      <c r="R102"/>
      <c r="S102"/>
      <c r="T102"/>
    </row>
    <row r="103" spans="1:20" ht="15" hidden="1" x14ac:dyDescent="0.25">
      <c r="A103" s="7"/>
      <c r="B103" s="7"/>
      <c r="C103" s="7"/>
      <c r="D103" s="7"/>
      <c r="E103" s="7"/>
      <c r="F103" s="7"/>
      <c r="G103" s="7"/>
      <c r="H103"/>
      <c r="I103"/>
      <c r="J103"/>
      <c r="K103"/>
      <c r="L103"/>
      <c r="M103"/>
      <c r="N103"/>
      <c r="O103"/>
      <c r="P103"/>
      <c r="Q103"/>
      <c r="R103"/>
      <c r="S103"/>
      <c r="T103"/>
    </row>
    <row r="104" spans="1:20" ht="15" hidden="1" x14ac:dyDescent="0.25">
      <c r="A104" s="7"/>
      <c r="B104" s="7"/>
      <c r="C104" s="7"/>
      <c r="D104" s="7"/>
      <c r="E104" s="7"/>
      <c r="F104" s="7"/>
      <c r="G104" s="7"/>
      <c r="H104"/>
      <c r="I104"/>
      <c r="J104"/>
      <c r="K104"/>
      <c r="L104"/>
      <c r="M104"/>
      <c r="N104"/>
      <c r="O104"/>
      <c r="P104"/>
      <c r="Q104"/>
      <c r="R104"/>
      <c r="S104"/>
      <c r="T104"/>
    </row>
    <row r="105" spans="1:20" ht="15" hidden="1" x14ac:dyDescent="0.25">
      <c r="A105" s="7"/>
      <c r="B105" s="7"/>
      <c r="C105" s="7"/>
      <c r="D105" s="7"/>
      <c r="E105" s="7"/>
      <c r="F105" s="7"/>
      <c r="G105" s="7"/>
      <c r="H105"/>
      <c r="I105"/>
      <c r="J105"/>
      <c r="K105"/>
      <c r="L105"/>
      <c r="M105"/>
      <c r="N105"/>
      <c r="O105"/>
      <c r="P105"/>
      <c r="Q105"/>
      <c r="R105"/>
      <c r="S105"/>
      <c r="T105"/>
    </row>
    <row r="106" spans="1:20" ht="15" hidden="1" x14ac:dyDescent="0.25">
      <c r="A106" s="7"/>
      <c r="B106" s="7"/>
      <c r="C106" s="7"/>
      <c r="D106" s="7"/>
      <c r="E106" s="7"/>
      <c r="F106" s="7"/>
      <c r="G106" s="7"/>
      <c r="H106"/>
      <c r="I106"/>
      <c r="J106"/>
      <c r="K106"/>
      <c r="L106"/>
      <c r="M106"/>
      <c r="N106"/>
      <c r="O106"/>
      <c r="P106"/>
      <c r="Q106"/>
      <c r="R106"/>
      <c r="S106"/>
      <c r="T106"/>
    </row>
    <row r="107" spans="1:20" ht="15" hidden="1" x14ac:dyDescent="0.25">
      <c r="A107" s="7"/>
      <c r="B107" s="7"/>
      <c r="C107" s="7"/>
      <c r="D107" s="7"/>
      <c r="E107" s="7"/>
      <c r="F107" s="7"/>
      <c r="G107" s="7"/>
      <c r="H107"/>
      <c r="I107"/>
      <c r="J107"/>
      <c r="K107"/>
      <c r="L107"/>
      <c r="M107"/>
      <c r="N107"/>
      <c r="O107"/>
      <c r="P107"/>
      <c r="Q107"/>
      <c r="R107"/>
      <c r="S107"/>
      <c r="T107"/>
    </row>
    <row r="108" spans="1:20" hidden="1" x14ac:dyDescent="0.25">
      <c r="A108" s="16"/>
      <c r="B108" s="16"/>
      <c r="C108" s="16"/>
      <c r="D108" s="16"/>
      <c r="E108" s="16"/>
      <c r="F108" s="16"/>
      <c r="G108" s="16"/>
    </row>
    <row r="109" spans="1:20" ht="38.25" hidden="1" x14ac:dyDescent="0.25">
      <c r="A109" s="101" t="s">
        <v>693</v>
      </c>
      <c r="B109" s="102"/>
      <c r="C109" s="102"/>
      <c r="D109" s="102"/>
      <c r="E109" s="102"/>
      <c r="F109" s="102"/>
      <c r="G109" s="103"/>
      <c r="H109" s="72">
        <v>2025</v>
      </c>
      <c r="I109" s="25" t="s">
        <v>1435</v>
      </c>
      <c r="J109" s="25" t="s">
        <v>1440</v>
      </c>
      <c r="K109" s="25" t="s">
        <v>1441</v>
      </c>
      <c r="L109" s="25" t="s">
        <v>1442</v>
      </c>
      <c r="M109" s="25" t="s">
        <v>1444</v>
      </c>
      <c r="N109" s="25" t="s">
        <v>1435</v>
      </c>
      <c r="O109" s="25" t="s">
        <v>1440</v>
      </c>
      <c r="P109" s="25" t="s">
        <v>1441</v>
      </c>
      <c r="Q109" s="25" t="s">
        <v>1442</v>
      </c>
      <c r="R109" s="25" t="s">
        <v>1445</v>
      </c>
      <c r="S109" s="54" t="s">
        <v>1447</v>
      </c>
    </row>
    <row r="110" spans="1:20" hidden="1" x14ac:dyDescent="0.25">
      <c r="A110" s="80" t="s">
        <v>24</v>
      </c>
      <c r="B110" s="80"/>
      <c r="C110" s="80"/>
      <c r="D110" s="80"/>
      <c r="E110" s="80"/>
      <c r="F110" s="80"/>
      <c r="G110" s="80"/>
      <c r="H110" s="72"/>
      <c r="I110" s="73" t="s">
        <v>1436</v>
      </c>
      <c r="J110" s="73" t="s">
        <v>1437</v>
      </c>
      <c r="K110" s="73" t="s">
        <v>1438</v>
      </c>
      <c r="L110" s="73" t="s">
        <v>1439</v>
      </c>
      <c r="M110" s="73" t="s">
        <v>55</v>
      </c>
      <c r="N110" s="73" t="s">
        <v>1436</v>
      </c>
      <c r="O110" s="73" t="s">
        <v>1437</v>
      </c>
      <c r="P110" s="73" t="s">
        <v>1438</v>
      </c>
      <c r="Q110" s="73" t="s">
        <v>1439</v>
      </c>
      <c r="R110" s="73" t="s">
        <v>55</v>
      </c>
      <c r="S110" s="54"/>
    </row>
    <row r="111" spans="1:20" hidden="1" x14ac:dyDescent="0.25">
      <c r="A111" s="82"/>
      <c r="B111" s="82"/>
      <c r="C111" s="82"/>
      <c r="D111" s="82"/>
      <c r="E111" s="82"/>
      <c r="F111" s="82"/>
      <c r="G111" s="82"/>
      <c r="H111" s="72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54"/>
    </row>
    <row r="112" spans="1:20" ht="38.25" hidden="1" x14ac:dyDescent="0.25">
      <c r="A112" s="10" t="s">
        <v>1</v>
      </c>
      <c r="B112" s="10" t="s">
        <v>1428</v>
      </c>
      <c r="C112" s="23" t="s">
        <v>1446</v>
      </c>
      <c r="D112" s="10" t="s">
        <v>2</v>
      </c>
      <c r="E112" s="10" t="s">
        <v>3</v>
      </c>
      <c r="F112" s="10" t="s">
        <v>4</v>
      </c>
      <c r="G112" s="10" t="s">
        <v>5</v>
      </c>
      <c r="H112" s="23" t="s">
        <v>1433</v>
      </c>
      <c r="I112" s="23" t="s">
        <v>1434</v>
      </c>
      <c r="J112" s="23" t="s">
        <v>1434</v>
      </c>
      <c r="K112" s="23" t="s">
        <v>1434</v>
      </c>
      <c r="L112" s="23" t="s">
        <v>1434</v>
      </c>
      <c r="M112" s="23" t="s">
        <v>1443</v>
      </c>
      <c r="N112" s="23" t="s">
        <v>1448</v>
      </c>
      <c r="O112" s="23" t="s">
        <v>1448</v>
      </c>
      <c r="P112" s="23" t="s">
        <v>1448</v>
      </c>
      <c r="Q112" s="23" t="s">
        <v>1448</v>
      </c>
      <c r="R112" s="23" t="s">
        <v>1449</v>
      </c>
      <c r="S112" s="54"/>
    </row>
    <row r="113" spans="1:19" ht="51" hidden="1" x14ac:dyDescent="0.25">
      <c r="A113" s="75" t="s">
        <v>878</v>
      </c>
      <c r="B113" s="28"/>
      <c r="C113" s="28"/>
      <c r="D113" s="4" t="s">
        <v>879</v>
      </c>
      <c r="E113" s="4" t="s">
        <v>880</v>
      </c>
      <c r="F113" s="4" t="s">
        <v>881</v>
      </c>
      <c r="G113" s="4" t="s">
        <v>882</v>
      </c>
      <c r="H113" s="28"/>
      <c r="I113" s="27"/>
      <c r="J113" s="27"/>
      <c r="K113" s="27"/>
      <c r="L113" s="27"/>
      <c r="M113" s="24" t="e">
        <f>IF(SUM(I113:L113)=H113,SUM(I113:L113)*100%/H113,"Dato erroneo no cumple con la meta Absoluta (establecida)")</f>
        <v>#DIV/0!</v>
      </c>
      <c r="N113" s="27"/>
      <c r="O113" s="27"/>
      <c r="P113" s="27"/>
      <c r="Q113" s="27"/>
      <c r="R113" s="24" t="e">
        <f>SUM(N113:Q113)*100%/H113</f>
        <v>#DIV/0!</v>
      </c>
      <c r="S113" s="15"/>
    </row>
    <row r="114" spans="1:19" ht="38.25" hidden="1" x14ac:dyDescent="0.25">
      <c r="A114" s="75"/>
      <c r="B114" s="28"/>
      <c r="C114" s="28"/>
      <c r="D114" s="4" t="s">
        <v>883</v>
      </c>
      <c r="E114" s="4" t="s">
        <v>884</v>
      </c>
      <c r="F114" s="4" t="s">
        <v>885</v>
      </c>
      <c r="G114" s="4" t="s">
        <v>886</v>
      </c>
      <c r="H114" s="28"/>
      <c r="I114" s="27"/>
      <c r="J114" s="27"/>
      <c r="K114" s="27"/>
      <c r="L114" s="27"/>
      <c r="M114" s="24" t="e">
        <f t="shared" ref="M114:M120" si="10">IF(SUM(I114:L114)=H114,SUM(I114:L114)*100%/H114,"Dato erroneo no cumple con la meta Absoluta (establecida)")</f>
        <v>#DIV/0!</v>
      </c>
      <c r="N114" s="27"/>
      <c r="O114" s="27"/>
      <c r="P114" s="27"/>
      <c r="Q114" s="27"/>
      <c r="R114" s="24" t="e">
        <f t="shared" ref="R114:R120" si="11">SUM(N114:Q114)*100%/H114</f>
        <v>#DIV/0!</v>
      </c>
      <c r="S114" s="15"/>
    </row>
    <row r="115" spans="1:19" ht="38.25" hidden="1" x14ac:dyDescent="0.25">
      <c r="A115" s="75"/>
      <c r="B115" s="28"/>
      <c r="C115" s="28"/>
      <c r="D115" s="4" t="s">
        <v>887</v>
      </c>
      <c r="E115" s="4" t="s">
        <v>888</v>
      </c>
      <c r="F115" s="4" t="s">
        <v>889</v>
      </c>
      <c r="G115" s="4" t="s">
        <v>890</v>
      </c>
      <c r="H115" s="28"/>
      <c r="I115" s="27"/>
      <c r="J115" s="27"/>
      <c r="K115" s="27"/>
      <c r="L115" s="27"/>
      <c r="M115" s="24" t="e">
        <f t="shared" si="10"/>
        <v>#DIV/0!</v>
      </c>
      <c r="N115" s="27"/>
      <c r="O115" s="27"/>
      <c r="P115" s="27"/>
      <c r="Q115" s="27"/>
      <c r="R115" s="24" t="e">
        <f t="shared" si="11"/>
        <v>#DIV/0!</v>
      </c>
      <c r="S115" s="15"/>
    </row>
    <row r="116" spans="1:19" ht="38.25" hidden="1" x14ac:dyDescent="0.25">
      <c r="A116" s="75"/>
      <c r="B116" s="28"/>
      <c r="C116" s="28"/>
      <c r="D116" s="4" t="s">
        <v>891</v>
      </c>
      <c r="E116" s="4" t="s">
        <v>892</v>
      </c>
      <c r="F116" s="4" t="s">
        <v>893</v>
      </c>
      <c r="G116" s="4" t="s">
        <v>88</v>
      </c>
      <c r="H116" s="28"/>
      <c r="I116" s="27"/>
      <c r="J116" s="27"/>
      <c r="K116" s="27"/>
      <c r="L116" s="27"/>
      <c r="M116" s="24" t="e">
        <f t="shared" si="10"/>
        <v>#DIV/0!</v>
      </c>
      <c r="N116" s="27"/>
      <c r="O116" s="27"/>
      <c r="P116" s="27"/>
      <c r="Q116" s="27"/>
      <c r="R116" s="24" t="e">
        <f t="shared" si="11"/>
        <v>#DIV/0!</v>
      </c>
      <c r="S116" s="15"/>
    </row>
    <row r="117" spans="1:19" ht="38.25" hidden="1" x14ac:dyDescent="0.25">
      <c r="A117" s="75"/>
      <c r="B117" s="28"/>
      <c r="C117" s="28"/>
      <c r="D117" s="4" t="s">
        <v>894</v>
      </c>
      <c r="E117" s="4" t="s">
        <v>895</v>
      </c>
      <c r="F117" s="4" t="s">
        <v>896</v>
      </c>
      <c r="G117" s="4" t="s">
        <v>897</v>
      </c>
      <c r="H117" s="28"/>
      <c r="I117" s="27"/>
      <c r="J117" s="27"/>
      <c r="K117" s="27"/>
      <c r="L117" s="27"/>
      <c r="M117" s="24" t="e">
        <f t="shared" si="10"/>
        <v>#DIV/0!</v>
      </c>
      <c r="N117" s="27"/>
      <c r="O117" s="27"/>
      <c r="P117" s="27"/>
      <c r="Q117" s="27"/>
      <c r="R117" s="24" t="e">
        <f t="shared" si="11"/>
        <v>#DIV/0!</v>
      </c>
      <c r="S117" s="15"/>
    </row>
    <row r="118" spans="1:19" ht="89.25" hidden="1" x14ac:dyDescent="0.25">
      <c r="A118" s="75"/>
      <c r="B118" s="28"/>
      <c r="C118" s="28"/>
      <c r="D118" s="4" t="s">
        <v>898</v>
      </c>
      <c r="E118" s="4" t="s">
        <v>899</v>
      </c>
      <c r="F118" s="4" t="s">
        <v>900</v>
      </c>
      <c r="G118" s="4" t="s">
        <v>901</v>
      </c>
      <c r="H118" s="28"/>
      <c r="I118" s="27"/>
      <c r="J118" s="27"/>
      <c r="K118" s="27"/>
      <c r="L118" s="27"/>
      <c r="M118" s="24" t="e">
        <f t="shared" si="10"/>
        <v>#DIV/0!</v>
      </c>
      <c r="N118" s="27"/>
      <c r="O118" s="27"/>
      <c r="P118" s="27"/>
      <c r="Q118" s="27"/>
      <c r="R118" s="24" t="e">
        <f t="shared" si="11"/>
        <v>#DIV/0!</v>
      </c>
      <c r="S118" s="15"/>
    </row>
    <row r="119" spans="1:19" ht="51" hidden="1" x14ac:dyDescent="0.25">
      <c r="A119" s="75"/>
      <c r="B119" s="28"/>
      <c r="C119" s="28"/>
      <c r="D119" s="4" t="s">
        <v>902</v>
      </c>
      <c r="E119" s="4" t="s">
        <v>903</v>
      </c>
      <c r="F119" s="4" t="s">
        <v>904</v>
      </c>
      <c r="G119" s="4" t="s">
        <v>905</v>
      </c>
      <c r="H119" s="28"/>
      <c r="I119" s="27"/>
      <c r="J119" s="27"/>
      <c r="K119" s="27"/>
      <c r="L119" s="27"/>
      <c r="M119" s="24" t="e">
        <f t="shared" si="10"/>
        <v>#DIV/0!</v>
      </c>
      <c r="N119" s="27"/>
      <c r="O119" s="27"/>
      <c r="P119" s="27"/>
      <c r="Q119" s="27"/>
      <c r="R119" s="24" t="e">
        <f t="shared" si="11"/>
        <v>#DIV/0!</v>
      </c>
      <c r="S119" s="15"/>
    </row>
    <row r="120" spans="1:19" ht="38.25" hidden="1" x14ac:dyDescent="0.25">
      <c r="A120" s="75"/>
      <c r="B120" s="28"/>
      <c r="C120" s="28"/>
      <c r="D120" s="4" t="s">
        <v>906</v>
      </c>
      <c r="E120" s="4" t="s">
        <v>907</v>
      </c>
      <c r="F120" s="4" t="s">
        <v>110</v>
      </c>
      <c r="G120" s="4" t="s">
        <v>908</v>
      </c>
      <c r="H120" s="28"/>
      <c r="I120" s="27"/>
      <c r="J120" s="27"/>
      <c r="K120" s="27"/>
      <c r="L120" s="27"/>
      <c r="M120" s="24" t="e">
        <f t="shared" si="10"/>
        <v>#DIV/0!</v>
      </c>
      <c r="N120" s="27"/>
      <c r="O120" s="27"/>
      <c r="P120" s="27"/>
      <c r="Q120" s="27"/>
      <c r="R120" s="24" t="e">
        <f t="shared" si="11"/>
        <v>#DIV/0!</v>
      </c>
      <c r="S120" s="15"/>
    </row>
    <row r="121" spans="1:19" ht="15" hidden="1" x14ac:dyDescent="0.25">
      <c r="A121" s="55" t="s">
        <v>25</v>
      </c>
      <c r="B121" s="55"/>
      <c r="C121" s="55"/>
      <c r="D121" s="55"/>
      <c r="E121" s="55"/>
      <c r="F121" s="55"/>
      <c r="G121" s="55"/>
      <c r="H121"/>
      <c r="I121"/>
      <c r="J121"/>
      <c r="K121"/>
      <c r="L121"/>
      <c r="M121"/>
      <c r="N121"/>
      <c r="O121"/>
      <c r="P121"/>
      <c r="Q121"/>
      <c r="R121"/>
      <c r="S121"/>
    </row>
    <row r="122" spans="1:19" ht="15" hidden="1" x14ac:dyDescent="0.25">
      <c r="A122" s="7"/>
      <c r="B122" s="7"/>
      <c r="C122" s="7"/>
      <c r="D122" s="7"/>
      <c r="E122" s="7"/>
      <c r="F122" s="7"/>
      <c r="G122" s="7"/>
      <c r="H122"/>
      <c r="I122"/>
      <c r="J122"/>
      <c r="K122"/>
      <c r="L122"/>
      <c r="M122"/>
      <c r="N122"/>
      <c r="O122"/>
      <c r="P122"/>
      <c r="Q122"/>
      <c r="R122"/>
      <c r="S122"/>
    </row>
    <row r="123" spans="1:19" ht="15" hidden="1" x14ac:dyDescent="0.25">
      <c r="A123" s="7"/>
      <c r="B123" s="7"/>
      <c r="C123" s="7"/>
      <c r="D123" s="7"/>
      <c r="E123" s="7"/>
      <c r="F123" s="7"/>
      <c r="G123" s="7"/>
      <c r="H123"/>
      <c r="I123"/>
      <c r="J123"/>
      <c r="K123"/>
      <c r="L123"/>
      <c r="M123"/>
      <c r="N123"/>
      <c r="O123"/>
      <c r="P123"/>
      <c r="Q123"/>
      <c r="R123"/>
      <c r="S123"/>
    </row>
    <row r="124" spans="1:19" ht="15" hidden="1" x14ac:dyDescent="0.25">
      <c r="A124" s="7"/>
      <c r="B124" s="7"/>
      <c r="C124" s="7"/>
      <c r="D124" s="7"/>
      <c r="E124" s="7"/>
      <c r="F124" s="7"/>
      <c r="G124" s="7"/>
      <c r="H124"/>
      <c r="I124"/>
      <c r="J124"/>
      <c r="K124"/>
      <c r="L124"/>
      <c r="M124"/>
      <c r="N124"/>
      <c r="O124"/>
      <c r="P124"/>
      <c r="Q124"/>
      <c r="R124"/>
      <c r="S124"/>
    </row>
    <row r="125" spans="1:19" ht="15" hidden="1" x14ac:dyDescent="0.25">
      <c r="A125" s="7"/>
      <c r="B125" s="7"/>
      <c r="C125" s="7"/>
      <c r="D125" s="7"/>
      <c r="E125" s="7"/>
      <c r="F125" s="7"/>
      <c r="G125" s="7"/>
      <c r="H125"/>
      <c r="I125"/>
      <c r="J125"/>
      <c r="K125"/>
      <c r="L125"/>
      <c r="M125"/>
      <c r="N125"/>
      <c r="O125"/>
      <c r="P125"/>
      <c r="Q125"/>
      <c r="R125"/>
      <c r="S125"/>
    </row>
    <row r="126" spans="1:19" hidden="1" x14ac:dyDescent="0.25">
      <c r="A126" s="7"/>
      <c r="B126" s="7"/>
      <c r="C126" s="7"/>
      <c r="D126" s="7"/>
      <c r="E126" s="7"/>
      <c r="F126" s="7"/>
      <c r="G126" s="7"/>
    </row>
    <row r="127" spans="1:19" hidden="1" x14ac:dyDescent="0.25">
      <c r="A127" s="7"/>
      <c r="B127" s="7"/>
      <c r="C127" s="7"/>
      <c r="D127" s="7"/>
      <c r="E127" s="7"/>
      <c r="F127" s="7"/>
      <c r="G127" s="7"/>
    </row>
    <row r="128" spans="1:19" ht="38.25" hidden="1" x14ac:dyDescent="0.25">
      <c r="A128" s="94" t="s">
        <v>693</v>
      </c>
      <c r="B128" s="95"/>
      <c r="C128" s="95"/>
      <c r="D128" s="95"/>
      <c r="E128" s="95"/>
      <c r="F128" s="95"/>
      <c r="G128" s="96"/>
      <c r="H128" s="72">
        <v>2025</v>
      </c>
      <c r="I128" s="25" t="s">
        <v>1435</v>
      </c>
      <c r="J128" s="25" t="s">
        <v>1440</v>
      </c>
      <c r="K128" s="25" t="s">
        <v>1441</v>
      </c>
      <c r="L128" s="25" t="s">
        <v>1442</v>
      </c>
      <c r="M128" s="25" t="s">
        <v>1444</v>
      </c>
      <c r="N128" s="25" t="s">
        <v>1435</v>
      </c>
      <c r="O128" s="25" t="s">
        <v>1440</v>
      </c>
      <c r="P128" s="25" t="s">
        <v>1441</v>
      </c>
      <c r="Q128" s="25" t="s">
        <v>1442</v>
      </c>
      <c r="R128" s="25" t="s">
        <v>1445</v>
      </c>
      <c r="S128" s="54" t="s">
        <v>1447</v>
      </c>
    </row>
    <row r="129" spans="1:20" hidden="1" x14ac:dyDescent="0.25">
      <c r="A129" s="104" t="s">
        <v>26</v>
      </c>
      <c r="B129" s="104"/>
      <c r="C129" s="104"/>
      <c r="D129" s="104"/>
      <c r="E129" s="104"/>
      <c r="F129" s="104"/>
      <c r="G129" s="104"/>
      <c r="H129" s="72"/>
      <c r="I129" s="73" t="s">
        <v>1436</v>
      </c>
      <c r="J129" s="73" t="s">
        <v>1437</v>
      </c>
      <c r="K129" s="73" t="s">
        <v>1438</v>
      </c>
      <c r="L129" s="73" t="s">
        <v>1439</v>
      </c>
      <c r="M129" s="73" t="s">
        <v>55</v>
      </c>
      <c r="N129" s="73" t="s">
        <v>1436</v>
      </c>
      <c r="O129" s="73" t="s">
        <v>1437</v>
      </c>
      <c r="P129" s="73" t="s">
        <v>1438</v>
      </c>
      <c r="Q129" s="73" t="s">
        <v>1439</v>
      </c>
      <c r="R129" s="73" t="s">
        <v>55</v>
      </c>
      <c r="S129" s="54"/>
    </row>
    <row r="130" spans="1:20" hidden="1" x14ac:dyDescent="0.25">
      <c r="A130" s="105"/>
      <c r="B130" s="105"/>
      <c r="C130" s="105"/>
      <c r="D130" s="105"/>
      <c r="E130" s="105"/>
      <c r="F130" s="105"/>
      <c r="G130" s="105"/>
      <c r="H130" s="72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54"/>
    </row>
    <row r="131" spans="1:20" ht="38.25" hidden="1" x14ac:dyDescent="0.25">
      <c r="A131" s="10" t="s">
        <v>1</v>
      </c>
      <c r="B131" s="10" t="s">
        <v>1428</v>
      </c>
      <c r="C131" s="23" t="s">
        <v>1446</v>
      </c>
      <c r="D131" s="10" t="s">
        <v>2</v>
      </c>
      <c r="E131" s="10" t="s">
        <v>3</v>
      </c>
      <c r="F131" s="10" t="s">
        <v>4</v>
      </c>
      <c r="G131" s="10" t="s">
        <v>5</v>
      </c>
      <c r="H131" s="23" t="s">
        <v>1433</v>
      </c>
      <c r="I131" s="23" t="s">
        <v>1434</v>
      </c>
      <c r="J131" s="23" t="s">
        <v>1434</v>
      </c>
      <c r="K131" s="23" t="s">
        <v>1434</v>
      </c>
      <c r="L131" s="23" t="s">
        <v>1434</v>
      </c>
      <c r="M131" s="23" t="s">
        <v>1443</v>
      </c>
      <c r="N131" s="23" t="s">
        <v>1448</v>
      </c>
      <c r="O131" s="23" t="s">
        <v>1448</v>
      </c>
      <c r="P131" s="23" t="s">
        <v>1448</v>
      </c>
      <c r="Q131" s="23" t="s">
        <v>1448</v>
      </c>
      <c r="R131" s="23" t="s">
        <v>1449</v>
      </c>
      <c r="S131" s="54"/>
    </row>
    <row r="132" spans="1:20" ht="38.25" hidden="1" x14ac:dyDescent="0.25">
      <c r="A132" s="84" t="s">
        <v>909</v>
      </c>
      <c r="B132" s="28"/>
      <c r="C132" s="28"/>
      <c r="D132" s="1" t="s">
        <v>910</v>
      </c>
      <c r="E132" s="1" t="s">
        <v>911</v>
      </c>
      <c r="F132" s="1" t="s">
        <v>912</v>
      </c>
      <c r="G132" s="3" t="s">
        <v>913</v>
      </c>
      <c r="H132" s="28"/>
      <c r="I132" s="27"/>
      <c r="J132" s="27"/>
      <c r="K132" s="27"/>
      <c r="L132" s="27"/>
      <c r="M132" s="24" t="e">
        <f>IF(SUM(I132:L132)=H132,SUM(I132:L132)*100%/H132,"Dato erroneo no cumple con la meta Absoluta (establecida)")</f>
        <v>#DIV/0!</v>
      </c>
      <c r="N132" s="27"/>
      <c r="O132" s="27"/>
      <c r="P132" s="27"/>
      <c r="Q132" s="27"/>
      <c r="R132" s="24" t="e">
        <f>SUM(N132:Q132)*100%/H132</f>
        <v>#DIV/0!</v>
      </c>
      <c r="S132" s="15"/>
    </row>
    <row r="133" spans="1:20" ht="63.75" hidden="1" x14ac:dyDescent="0.25">
      <c r="A133" s="85"/>
      <c r="B133" s="28"/>
      <c r="C133" s="28"/>
      <c r="D133" s="1" t="s">
        <v>914</v>
      </c>
      <c r="E133" s="1" t="s">
        <v>915</v>
      </c>
      <c r="F133" s="1" t="s">
        <v>916</v>
      </c>
      <c r="G133" s="3" t="s">
        <v>917</v>
      </c>
      <c r="H133" s="28"/>
      <c r="I133" s="27"/>
      <c r="J133" s="27"/>
      <c r="K133" s="27"/>
      <c r="L133" s="27"/>
      <c r="M133" s="24" t="e">
        <f t="shared" ref="M133:M137" si="12">IF(SUM(I133:L133)=H133,SUM(I133:L133)*100%/H133,"Dato erroneo no cumple con la meta Absoluta (establecida)")</f>
        <v>#DIV/0!</v>
      </c>
      <c r="N133" s="27"/>
      <c r="O133" s="27"/>
      <c r="P133" s="27"/>
      <c r="Q133" s="27"/>
      <c r="R133" s="24" t="e">
        <f t="shared" ref="R133:R137" si="13">SUM(N133:Q133)*100%/H133</f>
        <v>#DIV/0!</v>
      </c>
      <c r="S133" s="15"/>
    </row>
    <row r="134" spans="1:20" ht="38.25" hidden="1" x14ac:dyDescent="0.25">
      <c r="A134" s="85"/>
      <c r="B134" s="28"/>
      <c r="C134" s="28"/>
      <c r="D134" s="1" t="s">
        <v>918</v>
      </c>
      <c r="E134" s="1" t="s">
        <v>919</v>
      </c>
      <c r="F134" s="1" t="s">
        <v>920</v>
      </c>
      <c r="G134" s="3" t="s">
        <v>921</v>
      </c>
      <c r="H134" s="28"/>
      <c r="I134" s="27"/>
      <c r="J134" s="27"/>
      <c r="K134" s="27"/>
      <c r="L134" s="27"/>
      <c r="M134" s="24" t="e">
        <f t="shared" si="12"/>
        <v>#DIV/0!</v>
      </c>
      <c r="N134" s="27"/>
      <c r="O134" s="27"/>
      <c r="P134" s="27"/>
      <c r="Q134" s="27"/>
      <c r="R134" s="24" t="e">
        <f t="shared" si="13"/>
        <v>#DIV/0!</v>
      </c>
      <c r="S134" s="15"/>
    </row>
    <row r="135" spans="1:20" ht="51" hidden="1" x14ac:dyDescent="0.25">
      <c r="A135" s="85"/>
      <c r="B135" s="28"/>
      <c r="C135" s="28"/>
      <c r="D135" s="1" t="s">
        <v>922</v>
      </c>
      <c r="E135" s="1" t="s">
        <v>923</v>
      </c>
      <c r="F135" s="1" t="s">
        <v>924</v>
      </c>
      <c r="G135" s="3" t="s">
        <v>925</v>
      </c>
      <c r="H135" s="28"/>
      <c r="I135" s="27"/>
      <c r="J135" s="27"/>
      <c r="K135" s="27"/>
      <c r="L135" s="27"/>
      <c r="M135" s="24" t="e">
        <f t="shared" si="12"/>
        <v>#DIV/0!</v>
      </c>
      <c r="N135" s="27"/>
      <c r="O135" s="27"/>
      <c r="P135" s="27"/>
      <c r="Q135" s="27"/>
      <c r="R135" s="24" t="e">
        <f t="shared" si="13"/>
        <v>#DIV/0!</v>
      </c>
      <c r="S135" s="15"/>
    </row>
    <row r="136" spans="1:20" ht="51" hidden="1" x14ac:dyDescent="0.25">
      <c r="A136" s="85"/>
      <c r="B136" s="28"/>
      <c r="C136" s="28"/>
      <c r="D136" s="1" t="s">
        <v>926</v>
      </c>
      <c r="E136" s="1" t="s">
        <v>927</v>
      </c>
      <c r="F136" s="1" t="s">
        <v>928</v>
      </c>
      <c r="G136" s="3" t="s">
        <v>929</v>
      </c>
      <c r="H136" s="28"/>
      <c r="I136" s="27"/>
      <c r="J136" s="27"/>
      <c r="K136" s="27"/>
      <c r="L136" s="27"/>
      <c r="M136" s="24" t="e">
        <f t="shared" si="12"/>
        <v>#DIV/0!</v>
      </c>
      <c r="N136" s="27"/>
      <c r="O136" s="27"/>
      <c r="P136" s="27"/>
      <c r="Q136" s="27"/>
      <c r="R136" s="24" t="e">
        <f t="shared" si="13"/>
        <v>#DIV/0!</v>
      </c>
      <c r="S136" s="15"/>
    </row>
    <row r="137" spans="1:20" ht="89.25" hidden="1" x14ac:dyDescent="0.25">
      <c r="A137" s="86"/>
      <c r="B137" s="28"/>
      <c r="C137" s="28"/>
      <c r="D137" s="1" t="s">
        <v>111</v>
      </c>
      <c r="E137" s="1" t="s">
        <v>112</v>
      </c>
      <c r="F137" s="1" t="s">
        <v>930</v>
      </c>
      <c r="G137" s="3" t="s">
        <v>931</v>
      </c>
      <c r="H137" s="28"/>
      <c r="I137" s="27"/>
      <c r="J137" s="27"/>
      <c r="K137" s="27"/>
      <c r="L137" s="27"/>
      <c r="M137" s="24" t="e">
        <f t="shared" si="12"/>
        <v>#DIV/0!</v>
      </c>
      <c r="N137" s="27"/>
      <c r="O137" s="27"/>
      <c r="P137" s="27"/>
      <c r="Q137" s="27"/>
      <c r="R137" s="24" t="e">
        <f t="shared" si="13"/>
        <v>#DIV/0!</v>
      </c>
      <c r="S137" s="15"/>
    </row>
    <row r="138" spans="1:20" ht="15" hidden="1" x14ac:dyDescent="0.25">
      <c r="A138" s="91" t="s">
        <v>932</v>
      </c>
      <c r="B138" s="91"/>
      <c r="C138" s="91"/>
      <c r="D138" s="91"/>
      <c r="E138" s="91"/>
      <c r="F138" s="91"/>
      <c r="G138" s="91"/>
      <c r="H138"/>
      <c r="I138"/>
      <c r="J138"/>
      <c r="K138"/>
      <c r="L138"/>
      <c r="M138"/>
      <c r="N138"/>
      <c r="O138"/>
      <c r="P138"/>
      <c r="Q138"/>
      <c r="R138"/>
      <c r="S138"/>
      <c r="T138"/>
    </row>
    <row r="139" spans="1:20" ht="15" hidden="1" x14ac:dyDescent="0.25">
      <c r="A139" s="7"/>
      <c r="B139" s="7"/>
      <c r="C139" s="7"/>
      <c r="D139" s="7"/>
      <c r="E139" s="7"/>
      <c r="F139" s="7"/>
      <c r="G139" s="7"/>
      <c r="H139"/>
      <c r="I139"/>
      <c r="J139"/>
      <c r="K139"/>
      <c r="L139"/>
      <c r="M139"/>
      <c r="N139"/>
      <c r="O139"/>
      <c r="P139"/>
      <c r="Q139"/>
      <c r="R139"/>
      <c r="S139"/>
      <c r="T139"/>
    </row>
    <row r="140" spans="1:20" ht="15" hidden="1" x14ac:dyDescent="0.25">
      <c r="A140" s="7"/>
      <c r="B140" s="7"/>
      <c r="C140" s="7"/>
      <c r="D140" s="7"/>
      <c r="E140" s="7"/>
      <c r="F140" s="7"/>
      <c r="G140" s="7"/>
      <c r="H140"/>
      <c r="I140"/>
      <c r="J140"/>
      <c r="K140"/>
      <c r="L140"/>
      <c r="M140"/>
      <c r="N140"/>
      <c r="O140"/>
      <c r="P140"/>
      <c r="Q140"/>
      <c r="R140"/>
      <c r="S140"/>
      <c r="T140"/>
    </row>
    <row r="141" spans="1:20" hidden="1" x14ac:dyDescent="0.25">
      <c r="A141" s="7"/>
      <c r="B141" s="7"/>
      <c r="C141" s="7"/>
      <c r="D141" s="7"/>
      <c r="E141" s="7"/>
      <c r="F141" s="7"/>
      <c r="G141" s="7"/>
    </row>
    <row r="142" spans="1:20" hidden="1" x14ac:dyDescent="0.25">
      <c r="A142" s="7"/>
      <c r="B142" s="7"/>
      <c r="C142" s="7"/>
      <c r="D142" s="7"/>
      <c r="E142" s="7"/>
      <c r="F142" s="7"/>
      <c r="G142" s="7"/>
    </row>
    <row r="143" spans="1:20" hidden="1" x14ac:dyDescent="0.25">
      <c r="A143" s="7"/>
      <c r="B143" s="7"/>
      <c r="C143" s="7"/>
      <c r="D143" s="7"/>
      <c r="E143" s="7"/>
      <c r="F143" s="7"/>
      <c r="G143" s="7"/>
    </row>
    <row r="144" spans="1:20" ht="38.25" hidden="1" x14ac:dyDescent="0.25">
      <c r="A144" s="94" t="s">
        <v>693</v>
      </c>
      <c r="B144" s="95"/>
      <c r="C144" s="95"/>
      <c r="D144" s="95"/>
      <c r="E144" s="95"/>
      <c r="F144" s="95"/>
      <c r="G144" s="96"/>
      <c r="H144" s="72">
        <v>2025</v>
      </c>
      <c r="I144" s="25" t="s">
        <v>1435</v>
      </c>
      <c r="J144" s="25" t="s">
        <v>1440</v>
      </c>
      <c r="K144" s="25" t="s">
        <v>1441</v>
      </c>
      <c r="L144" s="25" t="s">
        <v>1442</v>
      </c>
      <c r="M144" s="25" t="s">
        <v>1444</v>
      </c>
      <c r="N144" s="25" t="s">
        <v>1435</v>
      </c>
      <c r="O144" s="25" t="s">
        <v>1440</v>
      </c>
      <c r="P144" s="25" t="s">
        <v>1441</v>
      </c>
      <c r="Q144" s="25" t="s">
        <v>1442</v>
      </c>
      <c r="R144" s="25" t="s">
        <v>1445</v>
      </c>
      <c r="S144" s="54" t="s">
        <v>1447</v>
      </c>
    </row>
    <row r="145" spans="1:19" hidden="1" x14ac:dyDescent="0.25">
      <c r="A145" s="80" t="s">
        <v>27</v>
      </c>
      <c r="B145" s="80"/>
      <c r="C145" s="80"/>
      <c r="D145" s="80"/>
      <c r="E145" s="80"/>
      <c r="F145" s="80"/>
      <c r="G145" s="80"/>
      <c r="H145" s="72"/>
      <c r="I145" s="73" t="s">
        <v>1436</v>
      </c>
      <c r="J145" s="73" t="s">
        <v>1437</v>
      </c>
      <c r="K145" s="73" t="s">
        <v>1438</v>
      </c>
      <c r="L145" s="73" t="s">
        <v>1439</v>
      </c>
      <c r="M145" s="73" t="s">
        <v>55</v>
      </c>
      <c r="N145" s="73" t="s">
        <v>1436</v>
      </c>
      <c r="O145" s="73" t="s">
        <v>1437</v>
      </c>
      <c r="P145" s="73" t="s">
        <v>1438</v>
      </c>
      <c r="Q145" s="73" t="s">
        <v>1439</v>
      </c>
      <c r="R145" s="73" t="s">
        <v>55</v>
      </c>
      <c r="S145" s="54"/>
    </row>
    <row r="146" spans="1:19" hidden="1" x14ac:dyDescent="0.25">
      <c r="A146" s="82"/>
      <c r="B146" s="82"/>
      <c r="C146" s="82"/>
      <c r="D146" s="82"/>
      <c r="E146" s="82"/>
      <c r="F146" s="82"/>
      <c r="G146" s="82"/>
      <c r="H146" s="72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54"/>
    </row>
    <row r="147" spans="1:19" ht="38.25" hidden="1" x14ac:dyDescent="0.25">
      <c r="A147" s="10" t="s">
        <v>1</v>
      </c>
      <c r="B147" s="10" t="s">
        <v>1428</v>
      </c>
      <c r="C147" s="23" t="s">
        <v>1446</v>
      </c>
      <c r="D147" s="10" t="s">
        <v>2</v>
      </c>
      <c r="E147" s="10" t="s">
        <v>3</v>
      </c>
      <c r="F147" s="10" t="s">
        <v>4</v>
      </c>
      <c r="G147" s="10" t="s">
        <v>5</v>
      </c>
      <c r="H147" s="23" t="s">
        <v>1433</v>
      </c>
      <c r="I147" s="23" t="s">
        <v>1434</v>
      </c>
      <c r="J147" s="23" t="s">
        <v>1434</v>
      </c>
      <c r="K147" s="23" t="s">
        <v>1434</v>
      </c>
      <c r="L147" s="23" t="s">
        <v>1434</v>
      </c>
      <c r="M147" s="23" t="s">
        <v>1443</v>
      </c>
      <c r="N147" s="23" t="s">
        <v>1448</v>
      </c>
      <c r="O147" s="23" t="s">
        <v>1448</v>
      </c>
      <c r="P147" s="23" t="s">
        <v>1448</v>
      </c>
      <c r="Q147" s="23" t="s">
        <v>1448</v>
      </c>
      <c r="R147" s="23" t="s">
        <v>1449</v>
      </c>
      <c r="S147" s="54"/>
    </row>
    <row r="148" spans="1:19" ht="38.25" hidden="1" x14ac:dyDescent="0.25">
      <c r="A148" s="84" t="s">
        <v>933</v>
      </c>
      <c r="B148" s="28"/>
      <c r="C148" s="28"/>
      <c r="D148" s="1" t="s">
        <v>934</v>
      </c>
      <c r="E148" s="1" t="s">
        <v>935</v>
      </c>
      <c r="F148" s="1" t="s">
        <v>936</v>
      </c>
      <c r="G148" s="3" t="s">
        <v>937</v>
      </c>
      <c r="H148" s="28"/>
      <c r="I148" s="27"/>
      <c r="J148" s="27"/>
      <c r="K148" s="27"/>
      <c r="L148" s="27"/>
      <c r="M148" s="24" t="e">
        <f>IF(SUM(I148:L148)=H148,SUM(I148:L148)*100%/H148,"Dato erroneo no cumple con la meta Absoluta (establecida)")</f>
        <v>#DIV/0!</v>
      </c>
      <c r="N148" s="27"/>
      <c r="O148" s="27"/>
      <c r="P148" s="27"/>
      <c r="Q148" s="27"/>
      <c r="R148" s="24" t="e">
        <f>SUM(N148:Q148)*100%/H148</f>
        <v>#DIV/0!</v>
      </c>
      <c r="S148" s="15"/>
    </row>
    <row r="149" spans="1:19" ht="38.25" hidden="1" x14ac:dyDescent="0.25">
      <c r="A149" s="85"/>
      <c r="B149" s="28"/>
      <c r="C149" s="28"/>
      <c r="D149" s="1" t="s">
        <v>938</v>
      </c>
      <c r="E149" s="1" t="s">
        <v>939</v>
      </c>
      <c r="F149" s="1" t="s">
        <v>940</v>
      </c>
      <c r="G149" s="3" t="s">
        <v>941</v>
      </c>
      <c r="H149" s="28"/>
      <c r="I149" s="27"/>
      <c r="J149" s="27"/>
      <c r="K149" s="27"/>
      <c r="L149" s="27"/>
      <c r="M149" s="24" t="e">
        <f t="shared" ref="M149:M157" si="14">IF(SUM(I149:L149)=H149,SUM(I149:L149)*100%/H149,"Dato erroneo no cumple con la meta Absoluta (establecida)")</f>
        <v>#DIV/0!</v>
      </c>
      <c r="N149" s="27"/>
      <c r="O149" s="27"/>
      <c r="P149" s="27"/>
      <c r="Q149" s="27"/>
      <c r="R149" s="24" t="e">
        <f t="shared" ref="R149:R157" si="15">SUM(N149:Q149)*100%/H149</f>
        <v>#DIV/0!</v>
      </c>
      <c r="S149" s="15"/>
    </row>
    <row r="150" spans="1:19" ht="38.25" hidden="1" x14ac:dyDescent="0.25">
      <c r="A150" s="85"/>
      <c r="B150" s="28"/>
      <c r="C150" s="28"/>
      <c r="D150" s="1" t="s">
        <v>942</v>
      </c>
      <c r="E150" s="1" t="s">
        <v>943</v>
      </c>
      <c r="F150" s="1" t="s">
        <v>944</v>
      </c>
      <c r="G150" s="3" t="s">
        <v>945</v>
      </c>
      <c r="H150" s="28"/>
      <c r="I150" s="27"/>
      <c r="J150" s="27"/>
      <c r="K150" s="27"/>
      <c r="L150" s="27"/>
      <c r="M150" s="24" t="e">
        <f t="shared" si="14"/>
        <v>#DIV/0!</v>
      </c>
      <c r="N150" s="27"/>
      <c r="O150" s="27"/>
      <c r="P150" s="27"/>
      <c r="Q150" s="27"/>
      <c r="R150" s="24" t="e">
        <f t="shared" si="15"/>
        <v>#DIV/0!</v>
      </c>
      <c r="S150" s="15"/>
    </row>
    <row r="151" spans="1:19" ht="51" hidden="1" x14ac:dyDescent="0.25">
      <c r="A151" s="85"/>
      <c r="B151" s="28"/>
      <c r="C151" s="28"/>
      <c r="D151" s="1" t="s">
        <v>946</v>
      </c>
      <c r="E151" s="1" t="s">
        <v>947</v>
      </c>
      <c r="F151" s="1" t="s">
        <v>948</v>
      </c>
      <c r="G151" s="3" t="s">
        <v>949</v>
      </c>
      <c r="H151" s="28"/>
      <c r="I151" s="27"/>
      <c r="J151" s="27"/>
      <c r="K151" s="27"/>
      <c r="L151" s="27"/>
      <c r="M151" s="24" t="e">
        <f t="shared" si="14"/>
        <v>#DIV/0!</v>
      </c>
      <c r="N151" s="27"/>
      <c r="O151" s="27"/>
      <c r="P151" s="27"/>
      <c r="Q151" s="27"/>
      <c r="R151" s="24" t="e">
        <f t="shared" si="15"/>
        <v>#DIV/0!</v>
      </c>
      <c r="S151" s="15"/>
    </row>
    <row r="152" spans="1:19" ht="102" hidden="1" x14ac:dyDescent="0.25">
      <c r="A152" s="85"/>
      <c r="B152" s="28"/>
      <c r="C152" s="28"/>
      <c r="D152" s="1" t="s">
        <v>950</v>
      </c>
      <c r="E152" s="1" t="s">
        <v>951</v>
      </c>
      <c r="F152" s="1" t="s">
        <v>89</v>
      </c>
      <c r="G152" s="3" t="s">
        <v>952</v>
      </c>
      <c r="H152" s="28"/>
      <c r="I152" s="27"/>
      <c r="J152" s="27"/>
      <c r="K152" s="27"/>
      <c r="L152" s="27"/>
      <c r="M152" s="24" t="e">
        <f t="shared" si="14"/>
        <v>#DIV/0!</v>
      </c>
      <c r="N152" s="27"/>
      <c r="O152" s="27"/>
      <c r="P152" s="27"/>
      <c r="Q152" s="27"/>
      <c r="R152" s="24" t="e">
        <f t="shared" si="15"/>
        <v>#DIV/0!</v>
      </c>
      <c r="S152" s="15"/>
    </row>
    <row r="153" spans="1:19" ht="25.5" hidden="1" x14ac:dyDescent="0.25">
      <c r="A153" s="85"/>
      <c r="B153" s="28"/>
      <c r="C153" s="28"/>
      <c r="D153" s="1" t="s">
        <v>953</v>
      </c>
      <c r="E153" s="1" t="s">
        <v>951</v>
      </c>
      <c r="F153" s="1" t="s">
        <v>954</v>
      </c>
      <c r="G153" s="3" t="s">
        <v>955</v>
      </c>
      <c r="H153" s="28"/>
      <c r="I153" s="27"/>
      <c r="J153" s="27"/>
      <c r="K153" s="27"/>
      <c r="L153" s="27"/>
      <c r="M153" s="24" t="e">
        <f t="shared" si="14"/>
        <v>#DIV/0!</v>
      </c>
      <c r="N153" s="27"/>
      <c r="O153" s="27"/>
      <c r="P153" s="27"/>
      <c r="Q153" s="27"/>
      <c r="R153" s="24" t="e">
        <f t="shared" si="15"/>
        <v>#DIV/0!</v>
      </c>
      <c r="S153" s="15"/>
    </row>
    <row r="154" spans="1:19" ht="76.5" hidden="1" x14ac:dyDescent="0.25">
      <c r="A154" s="85"/>
      <c r="B154" s="28"/>
      <c r="C154" s="28"/>
      <c r="D154" s="12" t="s">
        <v>956</v>
      </c>
      <c r="E154" s="17" t="s">
        <v>8</v>
      </c>
      <c r="F154" s="12" t="s">
        <v>957</v>
      </c>
      <c r="G154" s="3" t="s">
        <v>958</v>
      </c>
      <c r="H154" s="28"/>
      <c r="I154" s="27"/>
      <c r="J154" s="27"/>
      <c r="K154" s="27"/>
      <c r="L154" s="27"/>
      <c r="M154" s="24" t="e">
        <f t="shared" si="14"/>
        <v>#DIV/0!</v>
      </c>
      <c r="N154" s="27"/>
      <c r="O154" s="27"/>
      <c r="P154" s="27"/>
      <c r="Q154" s="27"/>
      <c r="R154" s="24" t="e">
        <f t="shared" si="15"/>
        <v>#DIV/0!</v>
      </c>
      <c r="S154" s="15"/>
    </row>
    <row r="155" spans="1:19" ht="76.5" hidden="1" x14ac:dyDescent="0.25">
      <c r="A155" s="85"/>
      <c r="B155" s="28"/>
      <c r="C155" s="28"/>
      <c r="D155" s="12" t="s">
        <v>959</v>
      </c>
      <c r="E155" s="12" t="s">
        <v>960</v>
      </c>
      <c r="F155" s="12" t="s">
        <v>961</v>
      </c>
      <c r="G155" s="3" t="s">
        <v>55</v>
      </c>
      <c r="H155" s="28"/>
      <c r="I155" s="27"/>
      <c r="J155" s="27"/>
      <c r="K155" s="27"/>
      <c r="L155" s="27"/>
      <c r="M155" s="24" t="e">
        <f t="shared" si="14"/>
        <v>#DIV/0!</v>
      </c>
      <c r="N155" s="27"/>
      <c r="O155" s="27"/>
      <c r="P155" s="27"/>
      <c r="Q155" s="27"/>
      <c r="R155" s="24" t="e">
        <f t="shared" si="15"/>
        <v>#DIV/0!</v>
      </c>
      <c r="S155" s="15"/>
    </row>
    <row r="156" spans="1:19" ht="25.5" hidden="1" x14ac:dyDescent="0.25">
      <c r="A156" s="85"/>
      <c r="B156" s="28"/>
      <c r="C156" s="28"/>
      <c r="D156" s="12" t="s">
        <v>962</v>
      </c>
      <c r="E156" s="12" t="s">
        <v>963</v>
      </c>
      <c r="F156" s="12" t="s">
        <v>964</v>
      </c>
      <c r="G156" s="3" t="s">
        <v>55</v>
      </c>
      <c r="H156" s="28"/>
      <c r="I156" s="27"/>
      <c r="J156" s="27"/>
      <c r="K156" s="27"/>
      <c r="L156" s="27"/>
      <c r="M156" s="24" t="e">
        <f t="shared" si="14"/>
        <v>#DIV/0!</v>
      </c>
      <c r="N156" s="27"/>
      <c r="O156" s="27"/>
      <c r="P156" s="27"/>
      <c r="Q156" s="27"/>
      <c r="R156" s="24" t="e">
        <f t="shared" si="15"/>
        <v>#DIV/0!</v>
      </c>
      <c r="S156" s="15"/>
    </row>
    <row r="157" spans="1:19" ht="216.75" hidden="1" x14ac:dyDescent="0.25">
      <c r="A157" s="86"/>
      <c r="B157" s="28"/>
      <c r="C157" s="28"/>
      <c r="D157" s="12" t="s">
        <v>965</v>
      </c>
      <c r="E157" s="12" t="s">
        <v>966</v>
      </c>
      <c r="F157" s="12" t="s">
        <v>967</v>
      </c>
      <c r="G157" s="3" t="s">
        <v>968</v>
      </c>
      <c r="H157" s="28"/>
      <c r="I157" s="27"/>
      <c r="J157" s="27"/>
      <c r="K157" s="27"/>
      <c r="L157" s="27"/>
      <c r="M157" s="24" t="e">
        <f t="shared" si="14"/>
        <v>#DIV/0!</v>
      </c>
      <c r="N157" s="27"/>
      <c r="O157" s="27"/>
      <c r="P157" s="27"/>
      <c r="Q157" s="27"/>
      <c r="R157" s="24" t="e">
        <f t="shared" si="15"/>
        <v>#DIV/0!</v>
      </c>
      <c r="S157" s="15"/>
    </row>
    <row r="158" spans="1:19" ht="15" hidden="1" x14ac:dyDescent="0.25">
      <c r="A158" s="91" t="s">
        <v>28</v>
      </c>
      <c r="B158" s="91"/>
      <c r="C158" s="91"/>
      <c r="D158" s="91"/>
      <c r="E158" s="91"/>
      <c r="F158" s="91"/>
      <c r="G158" s="91"/>
      <c r="H158"/>
      <c r="I158"/>
      <c r="J158"/>
      <c r="K158"/>
      <c r="L158"/>
      <c r="M158"/>
      <c r="N158"/>
      <c r="O158"/>
      <c r="P158"/>
      <c r="Q158"/>
      <c r="R158"/>
    </row>
    <row r="159" spans="1:19" ht="15" hidden="1" x14ac:dyDescent="0.25">
      <c r="A159" s="7"/>
      <c r="B159" s="7"/>
      <c r="C159" s="7"/>
      <c r="D159" s="7"/>
      <c r="E159" s="7"/>
      <c r="F159" s="7"/>
      <c r="G159" s="7"/>
      <c r="H159"/>
      <c r="I159"/>
      <c r="J159"/>
      <c r="K159"/>
      <c r="L159"/>
      <c r="M159"/>
      <c r="N159"/>
      <c r="O159"/>
      <c r="P159"/>
      <c r="Q159"/>
      <c r="R159"/>
    </row>
    <row r="160" spans="1:19" ht="15" hidden="1" x14ac:dyDescent="0.25">
      <c r="A160" s="7"/>
      <c r="B160" s="7"/>
      <c r="C160" s="7"/>
      <c r="D160" s="7"/>
      <c r="E160" s="7"/>
      <c r="F160" s="7"/>
      <c r="G160" s="7"/>
      <c r="H160"/>
      <c r="I160"/>
      <c r="J160"/>
      <c r="K160"/>
      <c r="L160"/>
      <c r="M160"/>
      <c r="N160"/>
      <c r="O160"/>
      <c r="P160"/>
      <c r="Q160"/>
      <c r="R160"/>
    </row>
    <row r="161" spans="1:21" ht="15" hidden="1" x14ac:dyDescent="0.25">
      <c r="A161" s="7"/>
      <c r="B161" s="7"/>
      <c r="C161" s="7"/>
      <c r="D161" s="7"/>
      <c r="E161" s="7"/>
      <c r="F161" s="7"/>
      <c r="G161" s="7"/>
      <c r="H161"/>
      <c r="I161"/>
      <c r="J161"/>
      <c r="K161"/>
      <c r="L161"/>
      <c r="M161"/>
      <c r="N161"/>
      <c r="O161"/>
      <c r="P161"/>
      <c r="Q161"/>
      <c r="R161"/>
    </row>
    <row r="162" spans="1:21" x14ac:dyDescent="0.25">
      <c r="A162" s="7"/>
      <c r="B162" s="7"/>
      <c r="C162" s="7"/>
      <c r="D162" s="7"/>
      <c r="E162" s="7"/>
      <c r="F162" s="7"/>
      <c r="G162" s="7"/>
    </row>
    <row r="163" spans="1:21" x14ac:dyDescent="0.25">
      <c r="A163" s="7"/>
      <c r="B163" s="7"/>
      <c r="C163" s="7"/>
      <c r="D163" s="7"/>
      <c r="E163" s="7"/>
      <c r="F163" s="7"/>
      <c r="G163" s="7"/>
    </row>
    <row r="164" spans="1:21" x14ac:dyDescent="0.25">
      <c r="A164" s="7"/>
      <c r="B164" s="7"/>
      <c r="C164" s="7"/>
      <c r="D164" s="7"/>
      <c r="E164" s="7"/>
      <c r="F164" s="7"/>
      <c r="G164" s="7"/>
    </row>
    <row r="165" spans="1:21" ht="38.25" x14ac:dyDescent="0.25">
      <c r="A165" s="94" t="s">
        <v>693</v>
      </c>
      <c r="B165" s="95"/>
      <c r="C165" s="95"/>
      <c r="D165" s="95"/>
      <c r="E165" s="95"/>
      <c r="F165" s="95"/>
      <c r="G165" s="96"/>
      <c r="H165" s="72">
        <v>2025</v>
      </c>
      <c r="I165" s="25" t="s">
        <v>1435</v>
      </c>
      <c r="J165" s="25" t="s">
        <v>1440</v>
      </c>
      <c r="K165" s="25" t="s">
        <v>1441</v>
      </c>
      <c r="L165" s="25" t="s">
        <v>1442</v>
      </c>
      <c r="M165" s="25" t="s">
        <v>1444</v>
      </c>
      <c r="N165" s="25" t="s">
        <v>1435</v>
      </c>
      <c r="O165" s="25" t="s">
        <v>1440</v>
      </c>
      <c r="P165" s="25" t="s">
        <v>1441</v>
      </c>
      <c r="Q165" s="25" t="s">
        <v>1442</v>
      </c>
      <c r="R165" s="25" t="s">
        <v>1445</v>
      </c>
      <c r="S165" s="54" t="s">
        <v>1447</v>
      </c>
    </row>
    <row r="166" spans="1:21" x14ac:dyDescent="0.25">
      <c r="A166" s="80" t="s">
        <v>29</v>
      </c>
      <c r="B166" s="80"/>
      <c r="C166" s="80"/>
      <c r="D166" s="80"/>
      <c r="E166" s="80"/>
      <c r="F166" s="80"/>
      <c r="G166" s="80"/>
      <c r="H166" s="72"/>
      <c r="I166" s="73" t="s">
        <v>1436</v>
      </c>
      <c r="J166" s="73" t="s">
        <v>1437</v>
      </c>
      <c r="K166" s="73" t="s">
        <v>1438</v>
      </c>
      <c r="L166" s="73" t="s">
        <v>1439</v>
      </c>
      <c r="M166" s="73" t="s">
        <v>55</v>
      </c>
      <c r="N166" s="73" t="s">
        <v>1436</v>
      </c>
      <c r="O166" s="73" t="s">
        <v>1437</v>
      </c>
      <c r="P166" s="73" t="s">
        <v>1438</v>
      </c>
      <c r="Q166" s="73" t="s">
        <v>1439</v>
      </c>
      <c r="R166" s="73" t="s">
        <v>55</v>
      </c>
      <c r="S166" s="54"/>
    </row>
    <row r="167" spans="1:21" x14ac:dyDescent="0.25">
      <c r="A167" s="82"/>
      <c r="B167" s="82"/>
      <c r="C167" s="82"/>
      <c r="D167" s="82"/>
      <c r="E167" s="82"/>
      <c r="F167" s="82"/>
      <c r="G167" s="82"/>
      <c r="H167" s="72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54"/>
    </row>
    <row r="168" spans="1:21" ht="38.25" x14ac:dyDescent="0.25">
      <c r="A168" s="2" t="s">
        <v>1</v>
      </c>
      <c r="B168" s="10" t="s">
        <v>1428</v>
      </c>
      <c r="C168" s="23" t="s">
        <v>1446</v>
      </c>
      <c r="D168" s="13" t="s">
        <v>2</v>
      </c>
      <c r="E168" s="13" t="s">
        <v>3</v>
      </c>
      <c r="F168" s="13" t="s">
        <v>4</v>
      </c>
      <c r="G168" s="13" t="s">
        <v>5</v>
      </c>
      <c r="H168" s="23" t="s">
        <v>1433</v>
      </c>
      <c r="I168" s="23" t="s">
        <v>1434</v>
      </c>
      <c r="J168" s="23" t="s">
        <v>1434</v>
      </c>
      <c r="K168" s="23" t="s">
        <v>1434</v>
      </c>
      <c r="L168" s="23" t="s">
        <v>1434</v>
      </c>
      <c r="M168" s="23" t="s">
        <v>1443</v>
      </c>
      <c r="N168" s="23" t="s">
        <v>1448</v>
      </c>
      <c r="O168" s="23" t="s">
        <v>1448</v>
      </c>
      <c r="P168" s="23" t="s">
        <v>1448</v>
      </c>
      <c r="Q168" s="23" t="s">
        <v>1448</v>
      </c>
      <c r="R168" s="23" t="s">
        <v>1449</v>
      </c>
      <c r="S168" s="54"/>
    </row>
    <row r="169" spans="1:21" ht="38.25" x14ac:dyDescent="0.25">
      <c r="A169" s="84" t="s">
        <v>969</v>
      </c>
      <c r="B169" s="28"/>
      <c r="C169" s="28"/>
      <c r="D169" s="12" t="s">
        <v>970</v>
      </c>
      <c r="E169" s="12" t="s">
        <v>971</v>
      </c>
      <c r="F169" s="12" t="s">
        <v>972</v>
      </c>
      <c r="G169" s="3" t="s">
        <v>973</v>
      </c>
      <c r="H169" s="28"/>
      <c r="I169" s="27"/>
      <c r="J169" s="27"/>
      <c r="K169" s="27"/>
      <c r="L169" s="27"/>
      <c r="M169" s="24" t="e">
        <f>IF(SUM(I169:L169)=H169,SUM(I169:L169)*100%/H169,"Dato erroneo no cumple con la meta Absoluta (establecida)")</f>
        <v>#DIV/0!</v>
      </c>
      <c r="N169" s="27"/>
      <c r="O169" s="27"/>
      <c r="P169" s="27"/>
      <c r="Q169" s="27"/>
      <c r="R169" s="24" t="e">
        <f>SUM(N169:Q169)*100%/H169</f>
        <v>#DIV/0!</v>
      </c>
      <c r="S169" s="15"/>
    </row>
    <row r="170" spans="1:21" ht="38.25" x14ac:dyDescent="0.25">
      <c r="A170" s="85"/>
      <c r="B170" s="28"/>
      <c r="C170" s="28"/>
      <c r="D170" s="12" t="s">
        <v>974</v>
      </c>
      <c r="E170" s="12" t="s">
        <v>975</v>
      </c>
      <c r="F170" s="12" t="s">
        <v>976</v>
      </c>
      <c r="G170" s="3" t="s">
        <v>90</v>
      </c>
      <c r="H170" s="28"/>
      <c r="I170" s="27"/>
      <c r="J170" s="27"/>
      <c r="K170" s="27"/>
      <c r="L170" s="27"/>
      <c r="M170" s="24" t="e">
        <f t="shared" ref="M170:M174" si="16">IF(SUM(I170:L170)=H170,SUM(I170:L170)*100%/H170,"Dato erroneo no cumple con la meta Absoluta (establecida)")</f>
        <v>#DIV/0!</v>
      </c>
      <c r="N170" s="27"/>
      <c r="O170" s="27"/>
      <c r="P170" s="27"/>
      <c r="Q170" s="27"/>
      <c r="R170" s="24" t="e">
        <f t="shared" ref="R170:R174" si="17">SUM(N170:Q170)*100%/H170</f>
        <v>#DIV/0!</v>
      </c>
      <c r="S170" s="15"/>
    </row>
    <row r="171" spans="1:21" ht="51" x14ac:dyDescent="0.25">
      <c r="A171" s="85"/>
      <c r="B171" s="28"/>
      <c r="C171" s="28"/>
      <c r="D171" s="12" t="s">
        <v>977</v>
      </c>
      <c r="E171" s="12" t="s">
        <v>978</v>
      </c>
      <c r="F171" s="12" t="s">
        <v>979</v>
      </c>
      <c r="G171" s="3" t="s">
        <v>980</v>
      </c>
      <c r="H171" s="28"/>
      <c r="I171" s="27"/>
      <c r="J171" s="27"/>
      <c r="K171" s="27"/>
      <c r="L171" s="27"/>
      <c r="M171" s="24" t="e">
        <f t="shared" si="16"/>
        <v>#DIV/0!</v>
      </c>
      <c r="N171" s="27"/>
      <c r="O171" s="27"/>
      <c r="P171" s="27"/>
      <c r="Q171" s="27"/>
      <c r="R171" s="24" t="e">
        <f t="shared" si="17"/>
        <v>#DIV/0!</v>
      </c>
      <c r="S171" s="15"/>
    </row>
    <row r="172" spans="1:21" ht="38.25" x14ac:dyDescent="0.25">
      <c r="A172" s="85"/>
      <c r="B172" s="28"/>
      <c r="C172" s="28"/>
      <c r="D172" s="12" t="s">
        <v>981</v>
      </c>
      <c r="E172" s="12" t="s">
        <v>982</v>
      </c>
      <c r="F172" s="12" t="s">
        <v>840</v>
      </c>
      <c r="G172" s="3" t="s">
        <v>983</v>
      </c>
      <c r="H172" s="28"/>
      <c r="I172" s="27"/>
      <c r="J172" s="27"/>
      <c r="K172" s="27"/>
      <c r="L172" s="27"/>
      <c r="M172" s="24" t="e">
        <f t="shared" si="16"/>
        <v>#DIV/0!</v>
      </c>
      <c r="N172" s="27"/>
      <c r="O172" s="27"/>
      <c r="P172" s="27"/>
      <c r="Q172" s="27"/>
      <c r="R172" s="24" t="e">
        <f t="shared" si="17"/>
        <v>#DIV/0!</v>
      </c>
      <c r="S172" s="15"/>
    </row>
    <row r="173" spans="1:21" ht="89.25" x14ac:dyDescent="0.25">
      <c r="A173" s="85"/>
      <c r="B173" s="28"/>
      <c r="C173" s="28"/>
      <c r="D173" s="12" t="s">
        <v>984</v>
      </c>
      <c r="E173" s="12" t="s">
        <v>985</v>
      </c>
      <c r="F173" s="12" t="s">
        <v>986</v>
      </c>
      <c r="G173" s="3" t="s">
        <v>987</v>
      </c>
      <c r="H173" s="28"/>
      <c r="I173" s="27"/>
      <c r="J173" s="27"/>
      <c r="K173" s="27"/>
      <c r="L173" s="27"/>
      <c r="M173" s="24" t="e">
        <f t="shared" si="16"/>
        <v>#DIV/0!</v>
      </c>
      <c r="N173" s="27"/>
      <c r="O173" s="27"/>
      <c r="P173" s="27"/>
      <c r="Q173" s="27"/>
      <c r="R173" s="24" t="e">
        <f t="shared" si="17"/>
        <v>#DIV/0!</v>
      </c>
      <c r="S173" s="15"/>
    </row>
    <row r="174" spans="1:21" ht="76.5" x14ac:dyDescent="0.25">
      <c r="A174" s="86"/>
      <c r="B174" s="28"/>
      <c r="C174" s="28"/>
      <c r="D174" s="12" t="s">
        <v>988</v>
      </c>
      <c r="E174" s="12" t="s">
        <v>989</v>
      </c>
      <c r="F174" s="12" t="s">
        <v>990</v>
      </c>
      <c r="G174" s="3" t="s">
        <v>991</v>
      </c>
      <c r="H174" s="28"/>
      <c r="I174" s="27"/>
      <c r="J174" s="27"/>
      <c r="K174" s="27"/>
      <c r="L174" s="27"/>
      <c r="M174" s="24" t="e">
        <f t="shared" si="16"/>
        <v>#DIV/0!</v>
      </c>
      <c r="N174" s="27"/>
      <c r="O174" s="27"/>
      <c r="P174" s="27"/>
      <c r="Q174" s="27"/>
      <c r="R174" s="24" t="e">
        <f t="shared" si="17"/>
        <v>#DIV/0!</v>
      </c>
      <c r="S174" s="15"/>
    </row>
    <row r="175" spans="1:21" ht="15" x14ac:dyDescent="0.25">
      <c r="A175" s="91" t="s">
        <v>30</v>
      </c>
      <c r="B175" s="91"/>
      <c r="C175" s="91"/>
      <c r="D175" s="91"/>
      <c r="E175" s="91"/>
      <c r="F175" s="91"/>
      <c r="G175" s="91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</row>
    <row r="176" spans="1:21" ht="15" x14ac:dyDescent="0.25"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</row>
    <row r="177" spans="8:21" ht="15" x14ac:dyDescent="0.25"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</row>
    <row r="178" spans="8:21" ht="15" x14ac:dyDescent="0.25"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</row>
    <row r="179" spans="8:21" ht="15" x14ac:dyDescent="0.25"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</row>
    <row r="180" spans="8:21" ht="15" x14ac:dyDescent="0.25"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</row>
  </sheetData>
  <mergeCells count="144">
    <mergeCell ref="S57:S60"/>
    <mergeCell ref="I58:I59"/>
    <mergeCell ref="J58:J59"/>
    <mergeCell ref="K58:K59"/>
    <mergeCell ref="L58:L59"/>
    <mergeCell ref="M58:M59"/>
    <mergeCell ref="N58:N59"/>
    <mergeCell ref="O58:O59"/>
    <mergeCell ref="S18:S21"/>
    <mergeCell ref="I19:I20"/>
    <mergeCell ref="J19:J20"/>
    <mergeCell ref="K19:K20"/>
    <mergeCell ref="L19:L20"/>
    <mergeCell ref="M19:M20"/>
    <mergeCell ref="N19:N20"/>
    <mergeCell ref="O19:O20"/>
    <mergeCell ref="P19:P20"/>
    <mergeCell ref="Q19:Q20"/>
    <mergeCell ref="R19:R20"/>
    <mergeCell ref="P58:P59"/>
    <mergeCell ref="Q58:Q59"/>
    <mergeCell ref="R58:R59"/>
    <mergeCell ref="S33:S36"/>
    <mergeCell ref="I34:I35"/>
    <mergeCell ref="H1:H3"/>
    <mergeCell ref="H18:H20"/>
    <mergeCell ref="H33:H35"/>
    <mergeCell ref="H57:H59"/>
    <mergeCell ref="A19:G20"/>
    <mergeCell ref="A18:G18"/>
    <mergeCell ref="A33:G33"/>
    <mergeCell ref="A34:G35"/>
    <mergeCell ref="A57:G57"/>
    <mergeCell ref="A58:G59"/>
    <mergeCell ref="A1:G1"/>
    <mergeCell ref="A2:G3"/>
    <mergeCell ref="A37:A49"/>
    <mergeCell ref="A5:A9"/>
    <mergeCell ref="A26:G26"/>
    <mergeCell ref="A10:G10"/>
    <mergeCell ref="A22:A25"/>
    <mergeCell ref="S1:S4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J34:J35"/>
    <mergeCell ref="K34:K35"/>
    <mergeCell ref="L34:L35"/>
    <mergeCell ref="M34:M35"/>
    <mergeCell ref="N34:N35"/>
    <mergeCell ref="O34:O35"/>
    <mergeCell ref="P34:P35"/>
    <mergeCell ref="Q34:Q35"/>
    <mergeCell ref="A50:G50"/>
    <mergeCell ref="A61:A72"/>
    <mergeCell ref="A85:A100"/>
    <mergeCell ref="A73:G73"/>
    <mergeCell ref="A145:G146"/>
    <mergeCell ref="A165:G165"/>
    <mergeCell ref="A166:G167"/>
    <mergeCell ref="A81:G81"/>
    <mergeCell ref="A82:G83"/>
    <mergeCell ref="A109:G109"/>
    <mergeCell ref="A110:G111"/>
    <mergeCell ref="A121:G121"/>
    <mergeCell ref="A128:G128"/>
    <mergeCell ref="A129:G130"/>
    <mergeCell ref="A144:G144"/>
    <mergeCell ref="R82:R83"/>
    <mergeCell ref="A175:G175"/>
    <mergeCell ref="A138:G138"/>
    <mergeCell ref="A169:A174"/>
    <mergeCell ref="A158:G158"/>
    <mergeCell ref="A148:A157"/>
    <mergeCell ref="A101:G101"/>
    <mergeCell ref="A132:A137"/>
    <mergeCell ref="A113:A120"/>
    <mergeCell ref="H128:H130"/>
    <mergeCell ref="H144:H146"/>
    <mergeCell ref="H165:H167"/>
    <mergeCell ref="R34:R35"/>
    <mergeCell ref="H109:H111"/>
    <mergeCell ref="S109:S112"/>
    <mergeCell ref="I110:I111"/>
    <mergeCell ref="J110:J111"/>
    <mergeCell ref="K110:K111"/>
    <mergeCell ref="L110:L111"/>
    <mergeCell ref="M110:M111"/>
    <mergeCell ref="N110:N111"/>
    <mergeCell ref="O110:O111"/>
    <mergeCell ref="P110:P111"/>
    <mergeCell ref="Q110:Q111"/>
    <mergeCell ref="R110:R111"/>
    <mergeCell ref="H81:H83"/>
    <mergeCell ref="S81:S84"/>
    <mergeCell ref="I82:I83"/>
    <mergeCell ref="J82:J83"/>
    <mergeCell ref="K82:K83"/>
    <mergeCell ref="L82:L83"/>
    <mergeCell ref="M82:M83"/>
    <mergeCell ref="N82:N83"/>
    <mergeCell ref="O82:O83"/>
    <mergeCell ref="P82:P83"/>
    <mergeCell ref="Q82:Q83"/>
    <mergeCell ref="S128:S131"/>
    <mergeCell ref="I129:I130"/>
    <mergeCell ref="J129:J130"/>
    <mergeCell ref="K129:K130"/>
    <mergeCell ref="L129:L130"/>
    <mergeCell ref="M129:M130"/>
    <mergeCell ref="N129:N130"/>
    <mergeCell ref="O129:O130"/>
    <mergeCell ref="P129:P130"/>
    <mergeCell ref="Q129:Q130"/>
    <mergeCell ref="R129:R130"/>
    <mergeCell ref="S144:S147"/>
    <mergeCell ref="I145:I146"/>
    <mergeCell ref="J145:J146"/>
    <mergeCell ref="K145:K146"/>
    <mergeCell ref="L145:L146"/>
    <mergeCell ref="M145:M146"/>
    <mergeCell ref="N145:N146"/>
    <mergeCell ref="O145:O146"/>
    <mergeCell ref="P145:P146"/>
    <mergeCell ref="Q145:Q146"/>
    <mergeCell ref="R145:R146"/>
    <mergeCell ref="S165:S168"/>
    <mergeCell ref="I166:I167"/>
    <mergeCell ref="J166:J167"/>
    <mergeCell ref="K166:K167"/>
    <mergeCell ref="L166:L167"/>
    <mergeCell ref="M166:M167"/>
    <mergeCell ref="N166:N167"/>
    <mergeCell ref="O166:O167"/>
    <mergeCell ref="P166:P167"/>
    <mergeCell ref="Q166:Q167"/>
    <mergeCell ref="R166:R167"/>
  </mergeCells>
  <phoneticPr fontId="11" type="noConversion"/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176"/>
  <sheetViews>
    <sheetView topLeftCell="A4" zoomScale="55" zoomScaleNormal="55" workbookViewId="0">
      <selection activeCell="D8" sqref="D8"/>
    </sheetView>
  </sheetViews>
  <sheetFormatPr baseColWidth="10" defaultColWidth="31.85546875" defaultRowHeight="12.75" x14ac:dyDescent="0.25"/>
  <cols>
    <col min="1" max="7" width="31.85546875" style="14"/>
    <col min="8" max="8" width="24.5703125" style="14" bestFit="1" customWidth="1"/>
    <col min="9" max="10" width="13.42578125" style="14" bestFit="1" customWidth="1"/>
    <col min="11" max="11" width="14.42578125" style="14" bestFit="1" customWidth="1"/>
    <col min="12" max="12" width="16.85546875" style="14" bestFit="1" customWidth="1"/>
    <col min="13" max="13" width="18.85546875" style="14" bestFit="1" customWidth="1"/>
    <col min="14" max="16" width="15" style="14" bestFit="1" customWidth="1"/>
    <col min="17" max="17" width="16.85546875" style="14" bestFit="1" customWidth="1"/>
    <col min="18" max="18" width="21.7109375" style="14" bestFit="1" customWidth="1"/>
    <col min="19" max="19" width="11.85546875" style="14" bestFit="1" customWidth="1"/>
    <col min="20" max="16384" width="31.85546875" style="14"/>
  </cols>
  <sheetData>
    <row r="1" spans="1:20" ht="20.25" customHeight="1" x14ac:dyDescent="0.25">
      <c r="A1" s="113" t="s">
        <v>682</v>
      </c>
      <c r="B1" s="113"/>
      <c r="C1" s="113"/>
      <c r="D1" s="113"/>
      <c r="E1" s="113"/>
      <c r="F1" s="113"/>
      <c r="G1" s="114"/>
      <c r="H1" s="72">
        <v>2025</v>
      </c>
      <c r="I1" s="25" t="s">
        <v>1435</v>
      </c>
      <c r="J1" s="25" t="s">
        <v>1440</v>
      </c>
      <c r="K1" s="25" t="s">
        <v>1441</v>
      </c>
      <c r="L1" s="25" t="s">
        <v>1442</v>
      </c>
      <c r="M1" s="25" t="s">
        <v>1444</v>
      </c>
      <c r="N1" s="25" t="s">
        <v>1435</v>
      </c>
      <c r="O1" s="25" t="s">
        <v>1440</v>
      </c>
      <c r="P1" s="25" t="s">
        <v>1441</v>
      </c>
      <c r="Q1" s="25" t="s">
        <v>1442</v>
      </c>
      <c r="R1" s="25" t="s">
        <v>1445</v>
      </c>
      <c r="S1" s="54" t="s">
        <v>1447</v>
      </c>
    </row>
    <row r="2" spans="1:20" ht="20.25" customHeight="1" x14ac:dyDescent="0.25">
      <c r="A2" s="82" t="s">
        <v>31</v>
      </c>
      <c r="B2" s="82"/>
      <c r="C2" s="82"/>
      <c r="D2" s="82"/>
      <c r="E2" s="82"/>
      <c r="F2" s="82"/>
      <c r="G2" s="83"/>
      <c r="H2" s="72"/>
      <c r="I2" s="73" t="s">
        <v>1436</v>
      </c>
      <c r="J2" s="73" t="s">
        <v>1437</v>
      </c>
      <c r="K2" s="73" t="s">
        <v>1438</v>
      </c>
      <c r="L2" s="73" t="s">
        <v>1439</v>
      </c>
      <c r="M2" s="73" t="s">
        <v>55</v>
      </c>
      <c r="N2" s="73" t="s">
        <v>1436</v>
      </c>
      <c r="O2" s="73" t="s">
        <v>1437</v>
      </c>
      <c r="P2" s="73" t="s">
        <v>1438</v>
      </c>
      <c r="Q2" s="73" t="s">
        <v>1439</v>
      </c>
      <c r="R2" s="73" t="s">
        <v>55</v>
      </c>
      <c r="S2" s="54"/>
    </row>
    <row r="3" spans="1:20" ht="15.75" customHeight="1" x14ac:dyDescent="0.25">
      <c r="A3" s="99"/>
      <c r="B3" s="99"/>
      <c r="C3" s="99"/>
      <c r="D3" s="99"/>
      <c r="E3" s="99"/>
      <c r="F3" s="99"/>
      <c r="G3" s="100"/>
      <c r="H3" s="72"/>
      <c r="I3" s="73"/>
      <c r="J3" s="73"/>
      <c r="K3" s="73"/>
      <c r="L3" s="73"/>
      <c r="M3" s="73"/>
      <c r="N3" s="73"/>
      <c r="O3" s="73"/>
      <c r="P3" s="73"/>
      <c r="Q3" s="73"/>
      <c r="R3" s="73"/>
      <c r="S3" s="54"/>
    </row>
    <row r="4" spans="1:20" x14ac:dyDescent="0.25">
      <c r="A4" s="10" t="s">
        <v>1</v>
      </c>
      <c r="B4" s="10" t="s">
        <v>1428</v>
      </c>
      <c r="C4" s="23" t="s">
        <v>1446</v>
      </c>
      <c r="D4" s="10" t="s">
        <v>2</v>
      </c>
      <c r="E4" s="10" t="s">
        <v>3</v>
      </c>
      <c r="F4" s="10" t="s">
        <v>4</v>
      </c>
      <c r="G4" s="10" t="s">
        <v>5</v>
      </c>
      <c r="H4" s="23" t="s">
        <v>1433</v>
      </c>
      <c r="I4" s="23" t="s">
        <v>1434</v>
      </c>
      <c r="J4" s="23" t="s">
        <v>1434</v>
      </c>
      <c r="K4" s="23" t="s">
        <v>1434</v>
      </c>
      <c r="L4" s="23" t="s">
        <v>1434</v>
      </c>
      <c r="M4" s="23" t="s">
        <v>1443</v>
      </c>
      <c r="N4" s="23" t="s">
        <v>1448</v>
      </c>
      <c r="O4" s="23" t="s">
        <v>1448</v>
      </c>
      <c r="P4" s="23" t="s">
        <v>1448</v>
      </c>
      <c r="Q4" s="23" t="s">
        <v>1448</v>
      </c>
      <c r="R4" s="23" t="s">
        <v>1449</v>
      </c>
      <c r="S4" s="54"/>
    </row>
    <row r="5" spans="1:20" ht="38.25" x14ac:dyDescent="0.25">
      <c r="A5" s="84" t="s">
        <v>992</v>
      </c>
      <c r="B5" s="28"/>
      <c r="C5" s="28"/>
      <c r="D5" s="12" t="s">
        <v>993</v>
      </c>
      <c r="E5" s="12" t="s">
        <v>994</v>
      </c>
      <c r="F5" s="3" t="s">
        <v>995</v>
      </c>
      <c r="G5" s="4" t="s">
        <v>996</v>
      </c>
      <c r="H5" s="28"/>
      <c r="I5" s="27"/>
      <c r="J5" s="27"/>
      <c r="K5" s="27"/>
      <c r="L5" s="27"/>
      <c r="M5" s="24" t="e">
        <f>IF(SUM(I5:L5)=H5,SUM(I5:L5)*100%/H5,"Dato erroneo no cumple con la meta Absoluta (establecida)")</f>
        <v>#DIV/0!</v>
      </c>
      <c r="N5" s="27"/>
      <c r="O5" s="27"/>
      <c r="P5" s="27"/>
      <c r="Q5" s="27"/>
      <c r="R5" s="24" t="e">
        <f>SUM(N5:Q5)*100%/H5</f>
        <v>#DIV/0!</v>
      </c>
      <c r="S5" s="15"/>
    </row>
    <row r="6" spans="1:20" ht="38.25" x14ac:dyDescent="0.25">
      <c r="A6" s="85"/>
      <c r="B6" s="28"/>
      <c r="C6" s="28"/>
      <c r="D6" s="12" t="s">
        <v>997</v>
      </c>
      <c r="E6" s="12" t="s">
        <v>998</v>
      </c>
      <c r="F6" s="3" t="s">
        <v>999</v>
      </c>
      <c r="G6" s="4" t="s">
        <v>1000</v>
      </c>
      <c r="H6" s="28"/>
      <c r="I6" s="27"/>
      <c r="J6" s="27"/>
      <c r="K6" s="27"/>
      <c r="L6" s="27"/>
      <c r="M6" s="24" t="e">
        <f t="shared" ref="M6:M8" si="0">IF(SUM(I6:L6)=H6,SUM(I6:L6)*100%/H6,"Dato erroneo no cumple con la meta Absoluta (establecida)")</f>
        <v>#DIV/0!</v>
      </c>
      <c r="N6" s="27"/>
      <c r="O6" s="27"/>
      <c r="P6" s="27"/>
      <c r="Q6" s="27"/>
      <c r="R6" s="24" t="e">
        <f t="shared" ref="R6:R8" si="1">SUM(N6:Q6)*100%/H6</f>
        <v>#DIV/0!</v>
      </c>
      <c r="S6" s="15"/>
    </row>
    <row r="7" spans="1:20" ht="51" x14ac:dyDescent="0.25">
      <c r="A7" s="85"/>
      <c r="B7" s="28"/>
      <c r="C7" s="28"/>
      <c r="D7" s="12" t="s">
        <v>1001</v>
      </c>
      <c r="E7" s="12" t="s">
        <v>1002</v>
      </c>
      <c r="F7" s="3" t="s">
        <v>1003</v>
      </c>
      <c r="G7" s="4" t="s">
        <v>1004</v>
      </c>
      <c r="H7" s="28"/>
      <c r="I7" s="27"/>
      <c r="J7" s="27"/>
      <c r="K7" s="27"/>
      <c r="L7" s="27"/>
      <c r="M7" s="24" t="e">
        <f t="shared" si="0"/>
        <v>#DIV/0!</v>
      </c>
      <c r="N7" s="27"/>
      <c r="O7" s="27"/>
      <c r="P7" s="27"/>
      <c r="Q7" s="27"/>
      <c r="R7" s="24" t="e">
        <f t="shared" si="1"/>
        <v>#DIV/0!</v>
      </c>
      <c r="S7" s="15"/>
    </row>
    <row r="8" spans="1:20" ht="51" x14ac:dyDescent="0.25">
      <c r="A8" s="86"/>
      <c r="B8" s="28"/>
      <c r="C8" s="28"/>
      <c r="D8" s="12" t="s">
        <v>1005</v>
      </c>
      <c r="E8" s="12" t="s">
        <v>1006</v>
      </c>
      <c r="F8" s="3" t="s">
        <v>1007</v>
      </c>
      <c r="G8" s="4" t="s">
        <v>1008</v>
      </c>
      <c r="H8" s="28"/>
      <c r="I8" s="27"/>
      <c r="J8" s="27"/>
      <c r="K8" s="27"/>
      <c r="L8" s="27"/>
      <c r="M8" s="24" t="e">
        <f t="shared" si="0"/>
        <v>#DIV/0!</v>
      </c>
      <c r="N8" s="27"/>
      <c r="O8" s="27"/>
      <c r="P8" s="27"/>
      <c r="Q8" s="27"/>
      <c r="R8" s="24" t="e">
        <f t="shared" si="1"/>
        <v>#DIV/0!</v>
      </c>
      <c r="S8" s="15"/>
    </row>
    <row r="9" spans="1:20" ht="12.75" customHeight="1" x14ac:dyDescent="0.25">
      <c r="A9" s="39" t="s">
        <v>1009</v>
      </c>
      <c r="B9" s="39"/>
      <c r="C9" s="39"/>
      <c r="D9" s="39"/>
      <c r="E9" s="39"/>
      <c r="F9" s="39"/>
      <c r="G9" s="38"/>
      <c r="H9"/>
      <c r="I9"/>
      <c r="J9"/>
      <c r="K9"/>
      <c r="L9"/>
      <c r="M9"/>
      <c r="N9"/>
      <c r="O9"/>
      <c r="P9"/>
      <c r="Q9"/>
      <c r="R9"/>
      <c r="S9"/>
      <c r="T9"/>
    </row>
    <row r="10" spans="1:20" ht="12.75" customHeight="1" x14ac:dyDescent="0.25">
      <c r="A10" s="38"/>
      <c r="B10" s="38"/>
      <c r="C10" s="38"/>
      <c r="D10" s="38"/>
      <c r="E10" s="38"/>
      <c r="F10" s="38"/>
      <c r="G10" s="38"/>
      <c r="H10"/>
      <c r="I10"/>
      <c r="J10"/>
      <c r="K10"/>
      <c r="L10"/>
      <c r="M10"/>
      <c r="N10"/>
      <c r="O10"/>
      <c r="P10"/>
      <c r="Q10"/>
      <c r="R10"/>
      <c r="S10"/>
      <c r="T10"/>
    </row>
    <row r="11" spans="1:20" ht="12.75" customHeight="1" x14ac:dyDescent="0.25">
      <c r="A11" s="38"/>
      <c r="B11" s="38"/>
      <c r="C11" s="38"/>
      <c r="D11" s="38"/>
      <c r="E11" s="38"/>
      <c r="F11" s="38"/>
      <c r="G11" s="38"/>
      <c r="H11"/>
      <c r="I11"/>
      <c r="J11"/>
      <c r="K11"/>
      <c r="L11"/>
      <c r="M11"/>
      <c r="N11"/>
      <c r="O11"/>
      <c r="P11"/>
      <c r="Q11"/>
      <c r="R11"/>
      <c r="S11"/>
      <c r="T11"/>
    </row>
    <row r="12" spans="1:20" ht="12.75" customHeight="1" x14ac:dyDescent="0.25">
      <c r="A12" s="38"/>
      <c r="B12" s="38"/>
      <c r="C12" s="38"/>
      <c r="D12" s="38"/>
      <c r="E12" s="38"/>
      <c r="F12" s="38"/>
      <c r="G12" s="38"/>
    </row>
    <row r="13" spans="1:20" ht="12.75" customHeight="1" x14ac:dyDescent="0.25">
      <c r="A13" s="38"/>
      <c r="B13" s="38"/>
      <c r="C13" s="38"/>
      <c r="D13" s="38"/>
      <c r="E13" s="38"/>
      <c r="F13" s="38"/>
      <c r="G13" s="38"/>
    </row>
    <row r="14" spans="1:20" x14ac:dyDescent="0.25">
      <c r="A14" s="7"/>
      <c r="B14" s="7"/>
      <c r="C14" s="7"/>
      <c r="D14" s="7"/>
      <c r="E14" s="7"/>
      <c r="F14" s="7"/>
      <c r="G14" s="7"/>
    </row>
    <row r="15" spans="1:20" ht="20.25" customHeight="1" x14ac:dyDescent="0.25">
      <c r="A15" s="113" t="s">
        <v>682</v>
      </c>
      <c r="B15" s="113"/>
      <c r="C15" s="113"/>
      <c r="D15" s="113"/>
      <c r="E15" s="113"/>
      <c r="F15" s="113"/>
      <c r="G15" s="114"/>
      <c r="H15" s="72">
        <v>2025</v>
      </c>
      <c r="I15" s="25" t="s">
        <v>1435</v>
      </c>
      <c r="J15" s="25" t="s">
        <v>1440</v>
      </c>
      <c r="K15" s="25" t="s">
        <v>1441</v>
      </c>
      <c r="L15" s="25" t="s">
        <v>1442</v>
      </c>
      <c r="M15" s="25" t="s">
        <v>1444</v>
      </c>
      <c r="N15" s="25" t="s">
        <v>1435</v>
      </c>
      <c r="O15" s="25" t="s">
        <v>1440</v>
      </c>
      <c r="P15" s="25" t="s">
        <v>1441</v>
      </c>
      <c r="Q15" s="25" t="s">
        <v>1442</v>
      </c>
      <c r="R15" s="25" t="s">
        <v>1445</v>
      </c>
      <c r="S15" s="54" t="s">
        <v>1447</v>
      </c>
    </row>
    <row r="16" spans="1:20" ht="15" customHeight="1" x14ac:dyDescent="0.25">
      <c r="A16" s="80" t="s">
        <v>32</v>
      </c>
      <c r="B16" s="80"/>
      <c r="C16" s="80"/>
      <c r="D16" s="80"/>
      <c r="E16" s="80"/>
      <c r="F16" s="80"/>
      <c r="G16" s="80"/>
      <c r="H16" s="72"/>
      <c r="I16" s="73" t="s">
        <v>1436</v>
      </c>
      <c r="J16" s="73" t="s">
        <v>1437</v>
      </c>
      <c r="K16" s="73" t="s">
        <v>1438</v>
      </c>
      <c r="L16" s="73" t="s">
        <v>1439</v>
      </c>
      <c r="M16" s="73" t="s">
        <v>55</v>
      </c>
      <c r="N16" s="73" t="s">
        <v>1436</v>
      </c>
      <c r="O16" s="73" t="s">
        <v>1437</v>
      </c>
      <c r="P16" s="73" t="s">
        <v>1438</v>
      </c>
      <c r="Q16" s="73" t="s">
        <v>1439</v>
      </c>
      <c r="R16" s="73" t="s">
        <v>55</v>
      </c>
      <c r="S16" s="54"/>
    </row>
    <row r="17" spans="1:19" ht="15.75" customHeight="1" x14ac:dyDescent="0.25">
      <c r="A17" s="82"/>
      <c r="B17" s="82"/>
      <c r="C17" s="82"/>
      <c r="D17" s="82"/>
      <c r="E17" s="82"/>
      <c r="F17" s="82"/>
      <c r="G17" s="82"/>
      <c r="H17" s="72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54"/>
    </row>
    <row r="18" spans="1:19" x14ac:dyDescent="0.25">
      <c r="A18" s="10" t="s">
        <v>1</v>
      </c>
      <c r="B18" s="10" t="s">
        <v>1428</v>
      </c>
      <c r="C18" s="23" t="s">
        <v>1446</v>
      </c>
      <c r="D18" s="10" t="s">
        <v>2</v>
      </c>
      <c r="E18" s="10" t="s">
        <v>3</v>
      </c>
      <c r="F18" s="10" t="s">
        <v>4</v>
      </c>
      <c r="G18" s="10" t="s">
        <v>5</v>
      </c>
      <c r="H18" s="23" t="s">
        <v>1433</v>
      </c>
      <c r="I18" s="23" t="s">
        <v>1434</v>
      </c>
      <c r="J18" s="23" t="s">
        <v>1434</v>
      </c>
      <c r="K18" s="23" t="s">
        <v>1434</v>
      </c>
      <c r="L18" s="23" t="s">
        <v>1434</v>
      </c>
      <c r="M18" s="23" t="s">
        <v>1443</v>
      </c>
      <c r="N18" s="23" t="s">
        <v>1448</v>
      </c>
      <c r="O18" s="23" t="s">
        <v>1448</v>
      </c>
      <c r="P18" s="23" t="s">
        <v>1448</v>
      </c>
      <c r="Q18" s="23" t="s">
        <v>1448</v>
      </c>
      <c r="R18" s="23" t="s">
        <v>1449</v>
      </c>
      <c r="S18" s="54"/>
    </row>
    <row r="19" spans="1:19" ht="38.25" x14ac:dyDescent="0.25">
      <c r="A19" s="84" t="s">
        <v>1010</v>
      </c>
      <c r="B19" s="28"/>
      <c r="C19" s="28"/>
      <c r="D19" s="12" t="s">
        <v>1011</v>
      </c>
      <c r="E19" s="12" t="s">
        <v>1012</v>
      </c>
      <c r="F19" s="12" t="s">
        <v>1013</v>
      </c>
      <c r="G19" s="3" t="s">
        <v>1014</v>
      </c>
      <c r="H19" s="28"/>
      <c r="I19" s="27"/>
      <c r="J19" s="27"/>
      <c r="K19" s="27"/>
      <c r="L19" s="27"/>
      <c r="M19" s="24" t="e">
        <f>IF(SUM(I19:L19)=H19,SUM(I19:L19)*100%/H19,"Dato erroneo no cumple con la meta Absoluta (establecida)")</f>
        <v>#DIV/0!</v>
      </c>
      <c r="N19" s="27"/>
      <c r="O19" s="27"/>
      <c r="P19" s="27"/>
      <c r="Q19" s="27"/>
      <c r="R19" s="24" t="e">
        <f>SUM(N19:Q19)*100%/H19</f>
        <v>#DIV/0!</v>
      </c>
      <c r="S19" s="15"/>
    </row>
    <row r="20" spans="1:19" ht="38.25" x14ac:dyDescent="0.25">
      <c r="A20" s="85"/>
      <c r="B20" s="28"/>
      <c r="C20" s="28"/>
      <c r="D20" s="12" t="s">
        <v>1015</v>
      </c>
      <c r="E20" s="12" t="s">
        <v>827</v>
      </c>
      <c r="F20" s="12" t="s">
        <v>1016</v>
      </c>
      <c r="G20" s="3" t="s">
        <v>1017</v>
      </c>
      <c r="H20" s="28"/>
      <c r="I20" s="27"/>
      <c r="J20" s="27"/>
      <c r="K20" s="27"/>
      <c r="L20" s="27"/>
      <c r="M20" s="24" t="e">
        <f t="shared" ref="M20:M28" si="2">IF(SUM(I20:L20)=H20,SUM(I20:L20)*100%/H20,"Dato erroneo no cumple con la meta Absoluta (establecida)")</f>
        <v>#DIV/0!</v>
      </c>
      <c r="N20" s="27"/>
      <c r="O20" s="27"/>
      <c r="P20" s="27"/>
      <c r="Q20" s="27"/>
      <c r="R20" s="24" t="e">
        <f t="shared" ref="R20:R28" si="3">SUM(N20:Q20)*100%/H20</f>
        <v>#DIV/0!</v>
      </c>
      <c r="S20" s="15"/>
    </row>
    <row r="21" spans="1:19" ht="51" x14ac:dyDescent="0.25">
      <c r="A21" s="85"/>
      <c r="B21" s="28"/>
      <c r="C21" s="28"/>
      <c r="D21" s="12" t="s">
        <v>92</v>
      </c>
      <c r="E21" s="12" t="s">
        <v>1018</v>
      </c>
      <c r="F21" s="12" t="s">
        <v>93</v>
      </c>
      <c r="G21" s="3" t="s">
        <v>1019</v>
      </c>
      <c r="H21" s="28"/>
      <c r="I21" s="27"/>
      <c r="J21" s="27"/>
      <c r="K21" s="27"/>
      <c r="L21" s="27"/>
      <c r="M21" s="24" t="e">
        <f t="shared" si="2"/>
        <v>#DIV/0!</v>
      </c>
      <c r="N21" s="27"/>
      <c r="O21" s="27"/>
      <c r="P21" s="27"/>
      <c r="Q21" s="27"/>
      <c r="R21" s="24" t="e">
        <f t="shared" si="3"/>
        <v>#DIV/0!</v>
      </c>
      <c r="S21" s="15"/>
    </row>
    <row r="22" spans="1:19" ht="38.25" x14ac:dyDescent="0.25">
      <c r="A22" s="85"/>
      <c r="B22" s="28"/>
      <c r="C22" s="28"/>
      <c r="D22" s="12" t="s">
        <v>1020</v>
      </c>
      <c r="E22" s="12" t="s">
        <v>1021</v>
      </c>
      <c r="F22" s="12" t="s">
        <v>1022</v>
      </c>
      <c r="G22" s="3" t="s">
        <v>1023</v>
      </c>
      <c r="H22" s="28"/>
      <c r="I22" s="27"/>
      <c r="J22" s="27"/>
      <c r="K22" s="27"/>
      <c r="L22" s="27"/>
      <c r="M22" s="24" t="e">
        <f t="shared" si="2"/>
        <v>#DIV/0!</v>
      </c>
      <c r="N22" s="27"/>
      <c r="O22" s="27"/>
      <c r="P22" s="27"/>
      <c r="Q22" s="27"/>
      <c r="R22" s="24" t="e">
        <f t="shared" si="3"/>
        <v>#DIV/0!</v>
      </c>
      <c r="S22" s="15"/>
    </row>
    <row r="23" spans="1:19" ht="63.75" x14ac:dyDescent="0.25">
      <c r="A23" s="85"/>
      <c r="B23" s="28"/>
      <c r="C23" s="28"/>
      <c r="D23" s="12" t="s">
        <v>1024</v>
      </c>
      <c r="E23" s="12" t="s">
        <v>1025</v>
      </c>
      <c r="F23" s="12" t="s">
        <v>1026</v>
      </c>
      <c r="G23" s="3" t="s">
        <v>1027</v>
      </c>
      <c r="H23" s="28"/>
      <c r="I23" s="27"/>
      <c r="J23" s="27"/>
      <c r="K23" s="27"/>
      <c r="L23" s="27"/>
      <c r="M23" s="24" t="e">
        <f t="shared" si="2"/>
        <v>#DIV/0!</v>
      </c>
      <c r="N23" s="27"/>
      <c r="O23" s="27"/>
      <c r="P23" s="27"/>
      <c r="Q23" s="27"/>
      <c r="R23" s="24" t="e">
        <f t="shared" si="3"/>
        <v>#DIV/0!</v>
      </c>
      <c r="S23" s="15"/>
    </row>
    <row r="24" spans="1:19" ht="38.25" x14ac:dyDescent="0.25">
      <c r="A24" s="85"/>
      <c r="B24" s="28"/>
      <c r="C24" s="28"/>
      <c r="D24" s="12" t="s">
        <v>1028</v>
      </c>
      <c r="E24" s="12" t="s">
        <v>1029</v>
      </c>
      <c r="F24" s="12" t="s">
        <v>1030</v>
      </c>
      <c r="G24" s="3" t="s">
        <v>1031</v>
      </c>
      <c r="H24" s="28"/>
      <c r="I24" s="27"/>
      <c r="J24" s="27"/>
      <c r="K24" s="27"/>
      <c r="L24" s="27"/>
      <c r="M24" s="24" t="e">
        <f t="shared" si="2"/>
        <v>#DIV/0!</v>
      </c>
      <c r="N24" s="27"/>
      <c r="O24" s="27"/>
      <c r="P24" s="27"/>
      <c r="Q24" s="27"/>
      <c r="R24" s="24" t="e">
        <f t="shared" si="3"/>
        <v>#DIV/0!</v>
      </c>
      <c r="S24" s="15"/>
    </row>
    <row r="25" spans="1:19" ht="51" x14ac:dyDescent="0.25">
      <c r="A25" s="85"/>
      <c r="B25" s="28"/>
      <c r="C25" s="28"/>
      <c r="D25" s="12" t="s">
        <v>1032</v>
      </c>
      <c r="E25" s="12" t="s">
        <v>1033</v>
      </c>
      <c r="F25" s="12" t="s">
        <v>1034</v>
      </c>
      <c r="G25" s="3" t="s">
        <v>1035</v>
      </c>
      <c r="H25" s="28"/>
      <c r="I25" s="27"/>
      <c r="J25" s="27"/>
      <c r="K25" s="27"/>
      <c r="L25" s="27"/>
      <c r="M25" s="24" t="e">
        <f t="shared" si="2"/>
        <v>#DIV/0!</v>
      </c>
      <c r="N25" s="27"/>
      <c r="O25" s="27"/>
      <c r="P25" s="27"/>
      <c r="Q25" s="27"/>
      <c r="R25" s="24" t="e">
        <f t="shared" si="3"/>
        <v>#DIV/0!</v>
      </c>
      <c r="S25" s="15"/>
    </row>
    <row r="26" spans="1:19" ht="51" x14ac:dyDescent="0.25">
      <c r="A26" s="85"/>
      <c r="B26" s="28"/>
      <c r="C26" s="28"/>
      <c r="D26" s="12" t="s">
        <v>1036</v>
      </c>
      <c r="E26" s="12" t="s">
        <v>1037</v>
      </c>
      <c r="F26" s="12" t="s">
        <v>1038</v>
      </c>
      <c r="G26" s="3" t="s">
        <v>1039</v>
      </c>
      <c r="H26" s="28"/>
      <c r="I26" s="27"/>
      <c r="J26" s="27"/>
      <c r="K26" s="27"/>
      <c r="L26" s="27"/>
      <c r="M26" s="24" t="e">
        <f t="shared" si="2"/>
        <v>#DIV/0!</v>
      </c>
      <c r="N26" s="27"/>
      <c r="O26" s="27"/>
      <c r="P26" s="27"/>
      <c r="Q26" s="27"/>
      <c r="R26" s="24" t="e">
        <f t="shared" si="3"/>
        <v>#DIV/0!</v>
      </c>
      <c r="S26" s="15"/>
    </row>
    <row r="27" spans="1:19" ht="63.75" x14ac:dyDescent="0.25">
      <c r="A27" s="85"/>
      <c r="B27" s="28"/>
      <c r="C27" s="28"/>
      <c r="D27" s="12" t="s">
        <v>1040</v>
      </c>
      <c r="E27" s="12" t="s">
        <v>1041</v>
      </c>
      <c r="F27" s="12" t="s">
        <v>1042</v>
      </c>
      <c r="G27" s="3" t="s">
        <v>1043</v>
      </c>
      <c r="H27" s="28"/>
      <c r="I27" s="27"/>
      <c r="J27" s="27"/>
      <c r="K27" s="27"/>
      <c r="L27" s="27"/>
      <c r="M27" s="24" t="e">
        <f t="shared" si="2"/>
        <v>#DIV/0!</v>
      </c>
      <c r="N27" s="27"/>
      <c r="O27" s="27"/>
      <c r="P27" s="27"/>
      <c r="Q27" s="27"/>
      <c r="R27" s="24" t="e">
        <f t="shared" si="3"/>
        <v>#DIV/0!</v>
      </c>
      <c r="S27" s="15"/>
    </row>
    <row r="28" spans="1:19" ht="25.5" x14ac:dyDescent="0.25">
      <c r="A28" s="86"/>
      <c r="B28" s="28"/>
      <c r="C28" s="28"/>
      <c r="D28" s="12" t="s">
        <v>1044</v>
      </c>
      <c r="E28" s="12" t="s">
        <v>1045</v>
      </c>
      <c r="F28" s="12" t="s">
        <v>1046</v>
      </c>
      <c r="G28" s="3" t="s">
        <v>1047</v>
      </c>
      <c r="H28" s="28"/>
      <c r="I28" s="27"/>
      <c r="J28" s="27"/>
      <c r="K28" s="27"/>
      <c r="L28" s="27"/>
      <c r="M28" s="24" t="e">
        <f t="shared" si="2"/>
        <v>#DIV/0!</v>
      </c>
      <c r="N28" s="27"/>
      <c r="O28" s="27"/>
      <c r="P28" s="27"/>
      <c r="Q28" s="27"/>
      <c r="R28" s="24" t="e">
        <f t="shared" si="3"/>
        <v>#DIV/0!</v>
      </c>
      <c r="S28" s="15"/>
    </row>
    <row r="29" spans="1:19" ht="15" x14ac:dyDescent="0.25">
      <c r="A29" s="39" t="s">
        <v>33</v>
      </c>
      <c r="B29" s="39"/>
      <c r="C29" s="39"/>
      <c r="D29" s="39"/>
      <c r="E29" s="39"/>
      <c r="F29" s="39"/>
      <c r="G29" s="39"/>
      <c r="H29"/>
      <c r="I29"/>
      <c r="J29"/>
      <c r="K29"/>
      <c r="L29"/>
      <c r="M29"/>
      <c r="N29"/>
      <c r="O29"/>
      <c r="P29"/>
      <c r="Q29"/>
      <c r="R29"/>
      <c r="S29"/>
    </row>
    <row r="30" spans="1:19" ht="15" x14ac:dyDescent="0.25">
      <c r="A30" s="38"/>
      <c r="B30" s="38"/>
      <c r="C30" s="38"/>
      <c r="D30" s="38"/>
      <c r="E30" s="38"/>
      <c r="F30" s="38"/>
      <c r="G30" s="38"/>
      <c r="H30"/>
      <c r="I30"/>
      <c r="J30"/>
      <c r="K30"/>
      <c r="L30"/>
      <c r="M30"/>
      <c r="N30"/>
      <c r="O30"/>
      <c r="P30"/>
      <c r="Q30"/>
      <c r="R30"/>
      <c r="S30"/>
    </row>
    <row r="31" spans="1:19" ht="15" x14ac:dyDescent="0.25">
      <c r="A31" s="38"/>
      <c r="B31" s="38"/>
      <c r="C31" s="38"/>
      <c r="D31" s="38"/>
      <c r="E31" s="38"/>
      <c r="F31" s="38"/>
      <c r="G31" s="38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38"/>
      <c r="B32" s="38"/>
      <c r="C32" s="38"/>
      <c r="D32" s="38"/>
      <c r="E32" s="38"/>
      <c r="F32" s="38"/>
      <c r="G32" s="38"/>
    </row>
    <row r="33" spans="1:19" x14ac:dyDescent="0.25">
      <c r="A33" s="38"/>
      <c r="B33" s="38"/>
      <c r="C33" s="38"/>
      <c r="D33" s="38"/>
      <c r="E33" s="38"/>
      <c r="F33" s="38"/>
      <c r="G33" s="38"/>
    </row>
    <row r="34" spans="1:19" x14ac:dyDescent="0.25">
      <c r="A34" s="7"/>
      <c r="B34" s="7"/>
      <c r="C34" s="7"/>
      <c r="D34" s="7"/>
      <c r="E34" s="7"/>
      <c r="F34" s="7"/>
      <c r="G34" s="7"/>
    </row>
    <row r="35" spans="1:19" x14ac:dyDescent="0.25">
      <c r="A35" s="113" t="s">
        <v>682</v>
      </c>
      <c r="B35" s="113"/>
      <c r="C35" s="113"/>
      <c r="D35" s="113"/>
      <c r="E35" s="113"/>
      <c r="F35" s="113"/>
      <c r="G35" s="114"/>
      <c r="H35" s="72">
        <v>2025</v>
      </c>
      <c r="I35" s="25" t="s">
        <v>1435</v>
      </c>
      <c r="J35" s="25" t="s">
        <v>1440</v>
      </c>
      <c r="K35" s="25" t="s">
        <v>1441</v>
      </c>
      <c r="L35" s="25" t="s">
        <v>1442</v>
      </c>
      <c r="M35" s="25" t="s">
        <v>1444</v>
      </c>
      <c r="N35" s="25" t="s">
        <v>1435</v>
      </c>
      <c r="O35" s="25" t="s">
        <v>1440</v>
      </c>
      <c r="P35" s="25" t="s">
        <v>1441</v>
      </c>
      <c r="Q35" s="25" t="s">
        <v>1442</v>
      </c>
      <c r="R35" s="25" t="s">
        <v>1445</v>
      </c>
      <c r="S35" s="54" t="s">
        <v>1447</v>
      </c>
    </row>
    <row r="36" spans="1:19" ht="15" customHeight="1" x14ac:dyDescent="0.25">
      <c r="A36" s="80" t="s">
        <v>34</v>
      </c>
      <c r="B36" s="80"/>
      <c r="C36" s="80"/>
      <c r="D36" s="80"/>
      <c r="E36" s="80"/>
      <c r="F36" s="80"/>
      <c r="G36" s="80"/>
      <c r="H36" s="72"/>
      <c r="I36" s="73" t="s">
        <v>1436</v>
      </c>
      <c r="J36" s="73" t="s">
        <v>1437</v>
      </c>
      <c r="K36" s="73" t="s">
        <v>1438</v>
      </c>
      <c r="L36" s="73" t="s">
        <v>1439</v>
      </c>
      <c r="M36" s="73" t="s">
        <v>55</v>
      </c>
      <c r="N36" s="73" t="s">
        <v>1436</v>
      </c>
      <c r="O36" s="73" t="s">
        <v>1437</v>
      </c>
      <c r="P36" s="73" t="s">
        <v>1438</v>
      </c>
      <c r="Q36" s="73" t="s">
        <v>1439</v>
      </c>
      <c r="R36" s="73" t="s">
        <v>55</v>
      </c>
      <c r="S36" s="54"/>
    </row>
    <row r="37" spans="1:19" ht="15.75" customHeight="1" x14ac:dyDescent="0.25">
      <c r="A37" s="82"/>
      <c r="B37" s="82"/>
      <c r="C37" s="82"/>
      <c r="D37" s="82"/>
      <c r="E37" s="82"/>
      <c r="F37" s="82"/>
      <c r="G37" s="82"/>
      <c r="H37" s="72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54"/>
    </row>
    <row r="38" spans="1:19" x14ac:dyDescent="0.25">
      <c r="A38" s="10" t="s">
        <v>1</v>
      </c>
      <c r="B38" s="10" t="s">
        <v>1428</v>
      </c>
      <c r="C38" s="23" t="s">
        <v>1446</v>
      </c>
      <c r="D38" s="10" t="s">
        <v>2</v>
      </c>
      <c r="E38" s="10" t="s">
        <v>3</v>
      </c>
      <c r="F38" s="10" t="s">
        <v>4</v>
      </c>
      <c r="G38" s="10" t="s">
        <v>5</v>
      </c>
      <c r="H38" s="23" t="s">
        <v>1433</v>
      </c>
      <c r="I38" s="23" t="s">
        <v>1434</v>
      </c>
      <c r="J38" s="23" t="s">
        <v>1434</v>
      </c>
      <c r="K38" s="23" t="s">
        <v>1434</v>
      </c>
      <c r="L38" s="23" t="s">
        <v>1434</v>
      </c>
      <c r="M38" s="23" t="s">
        <v>1443</v>
      </c>
      <c r="N38" s="23" t="s">
        <v>1448</v>
      </c>
      <c r="O38" s="23" t="s">
        <v>1448</v>
      </c>
      <c r="P38" s="23" t="s">
        <v>1448</v>
      </c>
      <c r="Q38" s="23" t="s">
        <v>1448</v>
      </c>
      <c r="R38" s="23" t="s">
        <v>1449</v>
      </c>
      <c r="S38" s="54"/>
    </row>
    <row r="39" spans="1:19" ht="38.25" customHeight="1" x14ac:dyDescent="0.25">
      <c r="A39" s="84" t="s">
        <v>91</v>
      </c>
      <c r="B39" s="28"/>
      <c r="C39" s="28"/>
      <c r="D39" s="12" t="s">
        <v>1048</v>
      </c>
      <c r="E39" s="12" t="s">
        <v>1049</v>
      </c>
      <c r="F39" s="12" t="s">
        <v>1050</v>
      </c>
      <c r="G39" s="3" t="s">
        <v>1051</v>
      </c>
      <c r="H39" s="28"/>
      <c r="I39" s="27"/>
      <c r="J39" s="27"/>
      <c r="K39" s="27"/>
      <c r="L39" s="27"/>
      <c r="M39" s="24" t="e">
        <f>IF(SUM(I39:L39)=H39,SUM(I39:L39)*100%/H39,"Dato erroneo no cumple con la meta Absoluta (establecida)")</f>
        <v>#DIV/0!</v>
      </c>
      <c r="N39" s="27"/>
      <c r="O39" s="27"/>
      <c r="P39" s="27"/>
      <c r="Q39" s="27"/>
      <c r="R39" s="24" t="e">
        <f>SUM(N39:Q39)*100%/H39</f>
        <v>#DIV/0!</v>
      </c>
      <c r="S39" s="15"/>
    </row>
    <row r="40" spans="1:19" ht="15" x14ac:dyDescent="0.25">
      <c r="A40" s="85"/>
      <c r="B40" s="28"/>
      <c r="C40" s="28"/>
      <c r="D40" s="12" t="s">
        <v>1052</v>
      </c>
      <c r="E40" s="12" t="s">
        <v>1053</v>
      </c>
      <c r="F40" s="12" t="s">
        <v>1054</v>
      </c>
      <c r="G40" s="3" t="s">
        <v>1055</v>
      </c>
      <c r="H40" s="28"/>
      <c r="I40" s="27"/>
      <c r="J40" s="27"/>
      <c r="K40" s="27"/>
      <c r="L40" s="27"/>
      <c r="M40" s="24" t="e">
        <f t="shared" ref="M40:M48" si="4">IF(SUM(I40:L40)=H40,SUM(I40:L40)*100%/H40,"Dato erroneo no cumple con la meta Absoluta (establecida)")</f>
        <v>#DIV/0!</v>
      </c>
      <c r="N40" s="27"/>
      <c r="O40" s="27"/>
      <c r="P40" s="27"/>
      <c r="Q40" s="27"/>
      <c r="R40" s="24" t="e">
        <f t="shared" ref="R40:R48" si="5">SUM(N40:Q40)*100%/H40</f>
        <v>#DIV/0!</v>
      </c>
      <c r="S40" s="15"/>
    </row>
    <row r="41" spans="1:19" ht="25.5" x14ac:dyDescent="0.25">
      <c r="A41" s="85"/>
      <c r="B41" s="28"/>
      <c r="C41" s="28"/>
      <c r="D41" s="12" t="s">
        <v>1056</v>
      </c>
      <c r="E41" s="12" t="s">
        <v>1057</v>
      </c>
      <c r="F41" s="12" t="s">
        <v>1058</v>
      </c>
      <c r="G41" s="3" t="s">
        <v>1059</v>
      </c>
      <c r="H41" s="28"/>
      <c r="I41" s="27"/>
      <c r="J41" s="27"/>
      <c r="K41" s="27"/>
      <c r="L41" s="27"/>
      <c r="M41" s="24" t="e">
        <f t="shared" si="4"/>
        <v>#DIV/0!</v>
      </c>
      <c r="N41" s="27"/>
      <c r="O41" s="27"/>
      <c r="P41" s="27"/>
      <c r="Q41" s="27"/>
      <c r="R41" s="24" t="e">
        <f t="shared" si="5"/>
        <v>#DIV/0!</v>
      </c>
      <c r="S41" s="15"/>
    </row>
    <row r="42" spans="1:19" ht="51" x14ac:dyDescent="0.25">
      <c r="A42" s="85"/>
      <c r="B42" s="28"/>
      <c r="C42" s="28"/>
      <c r="D42" s="12" t="s">
        <v>1060</v>
      </c>
      <c r="E42" s="12" t="s">
        <v>1061</v>
      </c>
      <c r="F42" s="12" t="s">
        <v>1062</v>
      </c>
      <c r="G42" s="3" t="s">
        <v>1063</v>
      </c>
      <c r="H42" s="28"/>
      <c r="I42" s="27"/>
      <c r="J42" s="27"/>
      <c r="K42" s="27"/>
      <c r="L42" s="27"/>
      <c r="M42" s="24" t="e">
        <f t="shared" si="4"/>
        <v>#DIV/0!</v>
      </c>
      <c r="N42" s="27"/>
      <c r="O42" s="27"/>
      <c r="P42" s="27"/>
      <c r="Q42" s="27"/>
      <c r="R42" s="24" t="e">
        <f t="shared" si="5"/>
        <v>#DIV/0!</v>
      </c>
      <c r="S42" s="15"/>
    </row>
    <row r="43" spans="1:19" ht="38.25" x14ac:dyDescent="0.25">
      <c r="A43" s="85"/>
      <c r="B43" s="28"/>
      <c r="C43" s="28"/>
      <c r="D43" s="12" t="s">
        <v>1064</v>
      </c>
      <c r="E43" s="12" t="s">
        <v>1065</v>
      </c>
      <c r="F43" s="12" t="s">
        <v>1066</v>
      </c>
      <c r="G43" s="3" t="s">
        <v>1067</v>
      </c>
      <c r="H43" s="28"/>
      <c r="I43" s="27"/>
      <c r="J43" s="27"/>
      <c r="K43" s="27"/>
      <c r="L43" s="27"/>
      <c r="M43" s="24" t="e">
        <f t="shared" si="4"/>
        <v>#DIV/0!</v>
      </c>
      <c r="N43" s="27"/>
      <c r="O43" s="27"/>
      <c r="P43" s="27"/>
      <c r="Q43" s="27"/>
      <c r="R43" s="24" t="e">
        <f t="shared" si="5"/>
        <v>#DIV/0!</v>
      </c>
      <c r="S43" s="15"/>
    </row>
    <row r="44" spans="1:19" ht="51" x14ac:dyDescent="0.25">
      <c r="A44" s="85"/>
      <c r="B44" s="28"/>
      <c r="C44" s="28"/>
      <c r="D44" s="12" t="s">
        <v>1068</v>
      </c>
      <c r="E44" s="12" t="s">
        <v>1069</v>
      </c>
      <c r="F44" s="12" t="s">
        <v>1070</v>
      </c>
      <c r="G44" s="3" t="s">
        <v>1071</v>
      </c>
      <c r="H44" s="28"/>
      <c r="I44" s="27"/>
      <c r="J44" s="27"/>
      <c r="K44" s="27"/>
      <c r="L44" s="27"/>
      <c r="M44" s="24" t="e">
        <f t="shared" si="4"/>
        <v>#DIV/0!</v>
      </c>
      <c r="N44" s="27"/>
      <c r="O44" s="27"/>
      <c r="P44" s="27"/>
      <c r="Q44" s="27"/>
      <c r="R44" s="24" t="e">
        <f t="shared" si="5"/>
        <v>#DIV/0!</v>
      </c>
      <c r="S44" s="15"/>
    </row>
    <row r="45" spans="1:19" ht="38.25" x14ac:dyDescent="0.25">
      <c r="A45" s="85"/>
      <c r="B45" s="28"/>
      <c r="C45" s="28"/>
      <c r="D45" s="12" t="s">
        <v>1072</v>
      </c>
      <c r="E45" s="12" t="s">
        <v>1073</v>
      </c>
      <c r="F45" s="12" t="s">
        <v>1074</v>
      </c>
      <c r="G45" s="3" t="s">
        <v>1075</v>
      </c>
      <c r="H45" s="28"/>
      <c r="I45" s="27"/>
      <c r="J45" s="27"/>
      <c r="K45" s="27"/>
      <c r="L45" s="27"/>
      <c r="M45" s="24" t="e">
        <f t="shared" si="4"/>
        <v>#DIV/0!</v>
      </c>
      <c r="N45" s="27"/>
      <c r="O45" s="27"/>
      <c r="P45" s="27"/>
      <c r="Q45" s="27"/>
      <c r="R45" s="24" t="e">
        <f t="shared" si="5"/>
        <v>#DIV/0!</v>
      </c>
      <c r="S45" s="15"/>
    </row>
    <row r="46" spans="1:19" ht="76.5" x14ac:dyDescent="0.25">
      <c r="A46" s="85"/>
      <c r="B46" s="28"/>
      <c r="C46" s="28"/>
      <c r="D46" s="12" t="s">
        <v>1076</v>
      </c>
      <c r="E46" s="12" t="s">
        <v>1077</v>
      </c>
      <c r="F46" s="12" t="s">
        <v>1078</v>
      </c>
      <c r="G46" s="3" t="s">
        <v>1079</v>
      </c>
      <c r="H46" s="28"/>
      <c r="I46" s="27"/>
      <c r="J46" s="27"/>
      <c r="K46" s="27"/>
      <c r="L46" s="27"/>
      <c r="M46" s="24" t="e">
        <f t="shared" si="4"/>
        <v>#DIV/0!</v>
      </c>
      <c r="N46" s="27"/>
      <c r="O46" s="27"/>
      <c r="P46" s="27"/>
      <c r="Q46" s="27"/>
      <c r="R46" s="24" t="e">
        <f t="shared" si="5"/>
        <v>#DIV/0!</v>
      </c>
      <c r="S46" s="15"/>
    </row>
    <row r="47" spans="1:19" ht="38.25" x14ac:dyDescent="0.25">
      <c r="A47" s="85"/>
      <c r="B47" s="28"/>
      <c r="C47" s="28"/>
      <c r="D47" s="12" t="s">
        <v>1080</v>
      </c>
      <c r="E47" s="12" t="s">
        <v>1081</v>
      </c>
      <c r="F47" s="12" t="s">
        <v>1082</v>
      </c>
      <c r="G47" s="3" t="s">
        <v>1083</v>
      </c>
      <c r="H47" s="28"/>
      <c r="I47" s="27"/>
      <c r="J47" s="27"/>
      <c r="K47" s="27"/>
      <c r="L47" s="27"/>
      <c r="M47" s="24" t="e">
        <f t="shared" si="4"/>
        <v>#DIV/0!</v>
      </c>
      <c r="N47" s="27"/>
      <c r="O47" s="27"/>
      <c r="P47" s="27"/>
      <c r="Q47" s="27"/>
      <c r="R47" s="24" t="e">
        <f t="shared" si="5"/>
        <v>#DIV/0!</v>
      </c>
      <c r="S47" s="15"/>
    </row>
    <row r="48" spans="1:19" ht="51" x14ac:dyDescent="0.25">
      <c r="A48" s="86"/>
      <c r="B48" s="28"/>
      <c r="C48" s="28"/>
      <c r="D48" s="12" t="s">
        <v>1084</v>
      </c>
      <c r="E48" s="12" t="s">
        <v>1085</v>
      </c>
      <c r="F48" s="12" t="s">
        <v>1086</v>
      </c>
      <c r="G48" s="3" t="s">
        <v>1087</v>
      </c>
      <c r="H48" s="28"/>
      <c r="I48" s="27"/>
      <c r="J48" s="27"/>
      <c r="K48" s="27"/>
      <c r="L48" s="27"/>
      <c r="M48" s="24" t="e">
        <f t="shared" si="4"/>
        <v>#DIV/0!</v>
      </c>
      <c r="N48" s="27"/>
      <c r="O48" s="27"/>
      <c r="P48" s="27"/>
      <c r="Q48" s="27"/>
      <c r="R48" s="24" t="e">
        <f t="shared" si="5"/>
        <v>#DIV/0!</v>
      </c>
      <c r="S48" s="15"/>
    </row>
    <row r="49" spans="1:19" ht="15" x14ac:dyDescent="0.25">
      <c r="A49" s="39" t="s">
        <v>35</v>
      </c>
      <c r="B49" s="39"/>
      <c r="C49" s="39"/>
      <c r="D49" s="39"/>
      <c r="E49" s="39"/>
      <c r="F49" s="39"/>
      <c r="G49" s="39"/>
      <c r="H49"/>
      <c r="I49"/>
      <c r="J49"/>
      <c r="K49"/>
      <c r="L49"/>
      <c r="M49"/>
      <c r="N49"/>
      <c r="O49"/>
      <c r="P49"/>
      <c r="Q49"/>
      <c r="R49"/>
      <c r="S49"/>
    </row>
    <row r="50" spans="1:19" ht="15" x14ac:dyDescent="0.25">
      <c r="A50" s="38"/>
      <c r="B50" s="38"/>
      <c r="C50" s="38"/>
      <c r="D50" s="38"/>
      <c r="E50" s="38"/>
      <c r="F50" s="38"/>
      <c r="G50" s="38"/>
      <c r="H50"/>
      <c r="I50"/>
      <c r="J50"/>
      <c r="K50"/>
      <c r="L50"/>
      <c r="M50"/>
      <c r="N50"/>
      <c r="O50"/>
      <c r="P50"/>
      <c r="Q50"/>
      <c r="R50"/>
      <c r="S50"/>
    </row>
    <row r="51" spans="1:19" ht="15" x14ac:dyDescent="0.25">
      <c r="A51" s="38"/>
      <c r="B51" s="38"/>
      <c r="C51" s="38"/>
      <c r="D51" s="38"/>
      <c r="E51" s="38"/>
      <c r="F51" s="38"/>
      <c r="G51" s="38"/>
      <c r="H51"/>
      <c r="I51"/>
      <c r="J51"/>
      <c r="K51"/>
      <c r="L51"/>
      <c r="M51"/>
      <c r="N51"/>
      <c r="O51"/>
      <c r="P51"/>
      <c r="Q51"/>
      <c r="R51"/>
      <c r="S51"/>
    </row>
    <row r="52" spans="1:19" ht="15" x14ac:dyDescent="0.25">
      <c r="A52" s="38"/>
      <c r="B52" s="38"/>
      <c r="C52" s="38"/>
      <c r="D52" s="38"/>
      <c r="E52" s="38"/>
      <c r="F52" s="38"/>
      <c r="G52" s="38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38"/>
      <c r="B53" s="38"/>
      <c r="C53" s="38"/>
      <c r="D53" s="38"/>
      <c r="E53" s="38"/>
      <c r="F53" s="38"/>
      <c r="G53" s="38"/>
    </row>
    <row r="54" spans="1:19" x14ac:dyDescent="0.25">
      <c r="A54" s="7"/>
      <c r="B54" s="7"/>
      <c r="C54" s="7"/>
      <c r="D54" s="7"/>
      <c r="E54" s="7"/>
      <c r="F54" s="7"/>
      <c r="G54" s="7"/>
    </row>
    <row r="55" spans="1:19" x14ac:dyDescent="0.25">
      <c r="A55" s="113" t="s">
        <v>682</v>
      </c>
      <c r="B55" s="113"/>
      <c r="C55" s="113"/>
      <c r="D55" s="113"/>
      <c r="E55" s="113"/>
      <c r="F55" s="113"/>
      <c r="G55" s="114"/>
      <c r="H55" s="72">
        <v>2025</v>
      </c>
      <c r="I55" s="25" t="s">
        <v>1435</v>
      </c>
      <c r="J55" s="25" t="s">
        <v>1440</v>
      </c>
      <c r="K55" s="25" t="s">
        <v>1441</v>
      </c>
      <c r="L55" s="25" t="s">
        <v>1442</v>
      </c>
      <c r="M55" s="25" t="s">
        <v>1444</v>
      </c>
      <c r="N55" s="25" t="s">
        <v>1435</v>
      </c>
      <c r="O55" s="25" t="s">
        <v>1440</v>
      </c>
      <c r="P55" s="25" t="s">
        <v>1441</v>
      </c>
      <c r="Q55" s="25" t="s">
        <v>1442</v>
      </c>
      <c r="R55" s="25" t="s">
        <v>1445</v>
      </c>
      <c r="S55" s="54" t="s">
        <v>1447</v>
      </c>
    </row>
    <row r="56" spans="1:19" ht="15" customHeight="1" x14ac:dyDescent="0.25">
      <c r="A56" s="80" t="s">
        <v>36</v>
      </c>
      <c r="B56" s="80"/>
      <c r="C56" s="80"/>
      <c r="D56" s="80"/>
      <c r="E56" s="80"/>
      <c r="F56" s="80"/>
      <c r="G56" s="80"/>
      <c r="H56" s="72"/>
      <c r="I56" s="73" t="s">
        <v>1436</v>
      </c>
      <c r="J56" s="73" t="s">
        <v>1437</v>
      </c>
      <c r="K56" s="73" t="s">
        <v>1438</v>
      </c>
      <c r="L56" s="73" t="s">
        <v>1439</v>
      </c>
      <c r="M56" s="73" t="s">
        <v>55</v>
      </c>
      <c r="N56" s="73" t="s">
        <v>1436</v>
      </c>
      <c r="O56" s="73" t="s">
        <v>1437</v>
      </c>
      <c r="P56" s="73" t="s">
        <v>1438</v>
      </c>
      <c r="Q56" s="73" t="s">
        <v>1439</v>
      </c>
      <c r="R56" s="73" t="s">
        <v>55</v>
      </c>
      <c r="S56" s="54"/>
    </row>
    <row r="57" spans="1:19" ht="15.75" customHeight="1" x14ac:dyDescent="0.25">
      <c r="A57" s="82"/>
      <c r="B57" s="82"/>
      <c r="C57" s="82"/>
      <c r="D57" s="82"/>
      <c r="E57" s="82"/>
      <c r="F57" s="82"/>
      <c r="G57" s="82"/>
      <c r="H57" s="72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54"/>
    </row>
    <row r="58" spans="1:19" x14ac:dyDescent="0.25">
      <c r="A58" s="10" t="s">
        <v>1</v>
      </c>
      <c r="B58" s="10" t="s">
        <v>1428</v>
      </c>
      <c r="C58" s="23" t="s">
        <v>1446</v>
      </c>
      <c r="D58" s="10" t="s">
        <v>2</v>
      </c>
      <c r="E58" s="10" t="s">
        <v>3</v>
      </c>
      <c r="F58" s="10" t="s">
        <v>4</v>
      </c>
      <c r="G58" s="10" t="s">
        <v>5</v>
      </c>
      <c r="H58" s="23" t="s">
        <v>1433</v>
      </c>
      <c r="I58" s="23" t="s">
        <v>1434</v>
      </c>
      <c r="J58" s="23" t="s">
        <v>1434</v>
      </c>
      <c r="K58" s="23" t="s">
        <v>1434</v>
      </c>
      <c r="L58" s="23" t="s">
        <v>1434</v>
      </c>
      <c r="M58" s="23" t="s">
        <v>1443</v>
      </c>
      <c r="N58" s="23" t="s">
        <v>1448</v>
      </c>
      <c r="O58" s="23" t="s">
        <v>1448</v>
      </c>
      <c r="P58" s="23" t="s">
        <v>1448</v>
      </c>
      <c r="Q58" s="23" t="s">
        <v>1448</v>
      </c>
      <c r="R58" s="23" t="s">
        <v>1449</v>
      </c>
      <c r="S58" s="54"/>
    </row>
    <row r="59" spans="1:19" ht="38.25" customHeight="1" x14ac:dyDescent="0.25">
      <c r="A59" s="84" t="s">
        <v>1088</v>
      </c>
      <c r="B59" s="28"/>
      <c r="C59" s="28"/>
      <c r="D59" s="12" t="s">
        <v>1089</v>
      </c>
      <c r="E59" s="12" t="s">
        <v>1090</v>
      </c>
      <c r="F59" s="12" t="s">
        <v>1091</v>
      </c>
      <c r="G59" s="3" t="s">
        <v>1092</v>
      </c>
      <c r="H59" s="28"/>
      <c r="I59" s="27"/>
      <c r="J59" s="27"/>
      <c r="K59" s="27"/>
      <c r="L59" s="27"/>
      <c r="M59" s="24" t="e">
        <f>IF(SUM(I59:L59)=H59,SUM(I59:L59)*100%/H59,"Dato erroneo no cumple con la meta Absoluta (establecida)")</f>
        <v>#DIV/0!</v>
      </c>
      <c r="N59" s="27"/>
      <c r="O59" s="27"/>
      <c r="P59" s="27"/>
      <c r="Q59" s="27"/>
      <c r="R59" s="24" t="e">
        <f>SUM(N59:Q59)*100%/H59</f>
        <v>#DIV/0!</v>
      </c>
      <c r="S59" s="15"/>
    </row>
    <row r="60" spans="1:19" ht="38.25" x14ac:dyDescent="0.25">
      <c r="A60" s="85"/>
      <c r="B60" s="28"/>
      <c r="C60" s="28"/>
      <c r="D60" s="12" t="s">
        <v>1093</v>
      </c>
      <c r="E60" s="12" t="s">
        <v>1094</v>
      </c>
      <c r="F60" s="12" t="s">
        <v>1095</v>
      </c>
      <c r="G60" s="3" t="s">
        <v>1096</v>
      </c>
      <c r="H60" s="28"/>
      <c r="I60" s="27"/>
      <c r="J60" s="27"/>
      <c r="K60" s="27"/>
      <c r="L60" s="27"/>
      <c r="M60" s="24" t="e">
        <f t="shared" ref="M60:M65" si="6">IF(SUM(I60:L60)=H60,SUM(I60:L60)*100%/H60,"Dato erroneo no cumple con la meta Absoluta (establecida)")</f>
        <v>#DIV/0!</v>
      </c>
      <c r="N60" s="27"/>
      <c r="O60" s="27"/>
      <c r="P60" s="27"/>
      <c r="Q60" s="27"/>
      <c r="R60" s="24" t="e">
        <f t="shared" ref="R60:R65" si="7">SUM(N60:Q60)*100%/H60</f>
        <v>#DIV/0!</v>
      </c>
      <c r="S60" s="15"/>
    </row>
    <row r="61" spans="1:19" ht="51" x14ac:dyDescent="0.25">
      <c r="A61" s="85"/>
      <c r="B61" s="28"/>
      <c r="C61" s="28"/>
      <c r="D61" s="12" t="s">
        <v>1097</v>
      </c>
      <c r="E61" s="12" t="s">
        <v>1098</v>
      </c>
      <c r="F61" s="12" t="s">
        <v>1099</v>
      </c>
      <c r="G61" s="3" t="s">
        <v>1100</v>
      </c>
      <c r="H61" s="28"/>
      <c r="I61" s="27"/>
      <c r="J61" s="27"/>
      <c r="K61" s="27"/>
      <c r="L61" s="27"/>
      <c r="M61" s="24" t="e">
        <f t="shared" si="6"/>
        <v>#DIV/0!</v>
      </c>
      <c r="N61" s="27"/>
      <c r="O61" s="27"/>
      <c r="P61" s="27"/>
      <c r="Q61" s="27"/>
      <c r="R61" s="24" t="e">
        <f t="shared" si="7"/>
        <v>#DIV/0!</v>
      </c>
      <c r="S61" s="15"/>
    </row>
    <row r="62" spans="1:19" ht="38.25" x14ac:dyDescent="0.25">
      <c r="A62" s="85"/>
      <c r="B62" s="28"/>
      <c r="C62" s="28"/>
      <c r="D62" s="12" t="s">
        <v>1101</v>
      </c>
      <c r="E62" s="12" t="s">
        <v>1102</v>
      </c>
      <c r="F62" s="12" t="s">
        <v>1103</v>
      </c>
      <c r="G62" s="3" t="s">
        <v>1104</v>
      </c>
      <c r="H62" s="28"/>
      <c r="I62" s="27"/>
      <c r="J62" s="27"/>
      <c r="K62" s="27"/>
      <c r="L62" s="27"/>
      <c r="M62" s="24" t="e">
        <f t="shared" si="6"/>
        <v>#DIV/0!</v>
      </c>
      <c r="N62" s="27"/>
      <c r="O62" s="27"/>
      <c r="P62" s="27"/>
      <c r="Q62" s="27"/>
      <c r="R62" s="24" t="e">
        <f t="shared" si="7"/>
        <v>#DIV/0!</v>
      </c>
      <c r="S62" s="15"/>
    </row>
    <row r="63" spans="1:19" ht="38.25" x14ac:dyDescent="0.25">
      <c r="A63" s="85"/>
      <c r="B63" s="28"/>
      <c r="C63" s="28"/>
      <c r="D63" s="12" t="s">
        <v>1105</v>
      </c>
      <c r="E63" s="12" t="s">
        <v>1106</v>
      </c>
      <c r="F63" s="12" t="s">
        <v>1106</v>
      </c>
      <c r="G63" s="3" t="s">
        <v>1107</v>
      </c>
      <c r="H63" s="28"/>
      <c r="I63" s="27"/>
      <c r="J63" s="27"/>
      <c r="K63" s="27"/>
      <c r="L63" s="27"/>
      <c r="M63" s="24" t="e">
        <f t="shared" si="6"/>
        <v>#DIV/0!</v>
      </c>
      <c r="N63" s="27"/>
      <c r="O63" s="27"/>
      <c r="P63" s="27"/>
      <c r="Q63" s="27"/>
      <c r="R63" s="24" t="e">
        <f t="shared" si="7"/>
        <v>#DIV/0!</v>
      </c>
      <c r="S63" s="15"/>
    </row>
    <row r="64" spans="1:19" ht="38.25" x14ac:dyDescent="0.25">
      <c r="A64" s="85"/>
      <c r="B64" s="28"/>
      <c r="C64" s="28"/>
      <c r="D64" s="12" t="s">
        <v>1108</v>
      </c>
      <c r="E64" s="12" t="s">
        <v>1109</v>
      </c>
      <c r="F64" s="12" t="s">
        <v>1110</v>
      </c>
      <c r="G64" s="3" t="s">
        <v>1111</v>
      </c>
      <c r="H64" s="28"/>
      <c r="I64" s="27"/>
      <c r="J64" s="27"/>
      <c r="K64" s="27"/>
      <c r="L64" s="27"/>
      <c r="M64" s="24" t="e">
        <f t="shared" si="6"/>
        <v>#DIV/0!</v>
      </c>
      <c r="N64" s="27"/>
      <c r="O64" s="27"/>
      <c r="P64" s="27"/>
      <c r="Q64" s="27"/>
      <c r="R64" s="24" t="e">
        <f t="shared" si="7"/>
        <v>#DIV/0!</v>
      </c>
      <c r="S64" s="15"/>
    </row>
    <row r="65" spans="1:19" ht="63.75" x14ac:dyDescent="0.25">
      <c r="A65" s="86"/>
      <c r="B65" s="28"/>
      <c r="C65" s="28"/>
      <c r="D65" s="12" t="s">
        <v>1112</v>
      </c>
      <c r="E65" s="12" t="s">
        <v>1113</v>
      </c>
      <c r="F65" s="12" t="s">
        <v>1114</v>
      </c>
      <c r="G65" s="3" t="s">
        <v>1115</v>
      </c>
      <c r="H65" s="28"/>
      <c r="I65" s="27"/>
      <c r="J65" s="27"/>
      <c r="K65" s="27"/>
      <c r="L65" s="27"/>
      <c r="M65" s="24" t="e">
        <f t="shared" si="6"/>
        <v>#DIV/0!</v>
      </c>
      <c r="N65" s="27"/>
      <c r="O65" s="27"/>
      <c r="P65" s="27"/>
      <c r="Q65" s="27"/>
      <c r="R65" s="24" t="e">
        <f t="shared" si="7"/>
        <v>#DIV/0!</v>
      </c>
      <c r="S65" s="15"/>
    </row>
    <row r="66" spans="1:19" ht="15" x14ac:dyDescent="0.25">
      <c r="A66" s="37" t="s">
        <v>33</v>
      </c>
      <c r="B66" s="37"/>
      <c r="C66" s="37"/>
      <c r="D66" s="37"/>
      <c r="E66" s="37"/>
      <c r="F66" s="37"/>
      <c r="G66" s="37"/>
      <c r="H66"/>
      <c r="I66"/>
      <c r="J66"/>
      <c r="K66"/>
      <c r="L66"/>
      <c r="M66"/>
      <c r="N66"/>
      <c r="O66"/>
      <c r="P66"/>
      <c r="Q66"/>
      <c r="R66"/>
    </row>
    <row r="67" spans="1:19" ht="15" x14ac:dyDescent="0.25">
      <c r="A67" s="36"/>
      <c r="B67" s="36"/>
      <c r="C67" s="36"/>
      <c r="D67" s="36"/>
      <c r="E67" s="36"/>
      <c r="F67" s="36"/>
      <c r="G67" s="36"/>
      <c r="H67"/>
      <c r="I67"/>
      <c r="J67"/>
      <c r="K67"/>
      <c r="L67"/>
      <c r="M67"/>
      <c r="N67"/>
      <c r="O67"/>
      <c r="P67"/>
      <c r="Q67"/>
      <c r="R67"/>
    </row>
    <row r="68" spans="1:19" ht="15" x14ac:dyDescent="0.25">
      <c r="A68" s="36"/>
      <c r="B68" s="36"/>
      <c r="C68" s="36"/>
      <c r="D68" s="36"/>
      <c r="E68" s="36"/>
      <c r="F68" s="36"/>
      <c r="G68" s="36"/>
      <c r="H68"/>
      <c r="I68"/>
      <c r="J68"/>
      <c r="K68"/>
      <c r="L68"/>
      <c r="M68"/>
      <c r="N68"/>
      <c r="O68"/>
      <c r="P68"/>
      <c r="Q68"/>
      <c r="R68"/>
    </row>
    <row r="69" spans="1:19" ht="15" x14ac:dyDescent="0.25">
      <c r="A69" s="36"/>
      <c r="B69" s="36"/>
      <c r="C69" s="36"/>
      <c r="D69" s="36"/>
      <c r="E69" s="36"/>
      <c r="F69" s="36"/>
      <c r="G69" s="36"/>
      <c r="H69"/>
      <c r="I69"/>
      <c r="J69"/>
      <c r="K69"/>
      <c r="L69"/>
      <c r="M69"/>
      <c r="N69"/>
      <c r="O69"/>
      <c r="P69"/>
      <c r="Q69"/>
      <c r="R69"/>
    </row>
    <row r="70" spans="1:19" x14ac:dyDescent="0.25">
      <c r="A70" s="36"/>
      <c r="B70" s="36"/>
      <c r="C70" s="36"/>
      <c r="D70" s="36"/>
      <c r="E70" s="36"/>
      <c r="F70" s="36"/>
      <c r="G70" s="36"/>
    </row>
    <row r="71" spans="1:19" x14ac:dyDescent="0.25">
      <c r="A71" s="8"/>
      <c r="B71" s="8"/>
      <c r="C71" s="8"/>
      <c r="D71" s="8"/>
      <c r="E71" s="7"/>
      <c r="F71" s="7"/>
      <c r="G71" s="7"/>
    </row>
    <row r="72" spans="1:19" x14ac:dyDescent="0.25">
      <c r="A72" s="113" t="s">
        <v>682</v>
      </c>
      <c r="B72" s="113"/>
      <c r="C72" s="113"/>
      <c r="D72" s="113"/>
      <c r="E72" s="113"/>
      <c r="F72" s="113"/>
      <c r="G72" s="114"/>
      <c r="H72" s="72">
        <v>2025</v>
      </c>
      <c r="I72" s="25" t="s">
        <v>1435</v>
      </c>
      <c r="J72" s="25" t="s">
        <v>1440</v>
      </c>
      <c r="K72" s="25" t="s">
        <v>1441</v>
      </c>
      <c r="L72" s="25" t="s">
        <v>1442</v>
      </c>
      <c r="M72" s="25" t="s">
        <v>1444</v>
      </c>
      <c r="N72" s="25" t="s">
        <v>1435</v>
      </c>
      <c r="O72" s="25" t="s">
        <v>1440</v>
      </c>
      <c r="P72" s="25" t="s">
        <v>1441</v>
      </c>
      <c r="Q72" s="25" t="s">
        <v>1442</v>
      </c>
      <c r="R72" s="25" t="s">
        <v>1445</v>
      </c>
      <c r="S72" s="54" t="s">
        <v>1447</v>
      </c>
    </row>
    <row r="73" spans="1:19" ht="15" customHeight="1" x14ac:dyDescent="0.25">
      <c r="A73" s="97" t="s">
        <v>37</v>
      </c>
      <c r="B73" s="80"/>
      <c r="C73" s="80"/>
      <c r="D73" s="80"/>
      <c r="E73" s="80"/>
      <c r="F73" s="80"/>
      <c r="G73" s="81"/>
      <c r="H73" s="72"/>
      <c r="I73" s="73" t="s">
        <v>1436</v>
      </c>
      <c r="J73" s="73" t="s">
        <v>1437</v>
      </c>
      <c r="K73" s="73" t="s">
        <v>1438</v>
      </c>
      <c r="L73" s="73" t="s">
        <v>1439</v>
      </c>
      <c r="M73" s="73" t="s">
        <v>55</v>
      </c>
      <c r="N73" s="73" t="s">
        <v>1436</v>
      </c>
      <c r="O73" s="73" t="s">
        <v>1437</v>
      </c>
      <c r="P73" s="73" t="s">
        <v>1438</v>
      </c>
      <c r="Q73" s="73" t="s">
        <v>1439</v>
      </c>
      <c r="R73" s="73" t="s">
        <v>55</v>
      </c>
      <c r="S73" s="54"/>
    </row>
    <row r="74" spans="1:19" ht="15.75" customHeight="1" x14ac:dyDescent="0.25">
      <c r="A74" s="98"/>
      <c r="B74" s="99"/>
      <c r="C74" s="99"/>
      <c r="D74" s="99"/>
      <c r="E74" s="99"/>
      <c r="F74" s="99"/>
      <c r="G74" s="100"/>
      <c r="H74" s="72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54"/>
    </row>
    <row r="75" spans="1:19" x14ac:dyDescent="0.25">
      <c r="A75" s="10" t="s">
        <v>1</v>
      </c>
      <c r="B75" s="10" t="s">
        <v>1428</v>
      </c>
      <c r="C75" s="23" t="s">
        <v>1446</v>
      </c>
      <c r="D75" s="10" t="s">
        <v>2</v>
      </c>
      <c r="E75" s="10" t="s">
        <v>3</v>
      </c>
      <c r="F75" s="10" t="s">
        <v>4</v>
      </c>
      <c r="G75" s="10" t="s">
        <v>5</v>
      </c>
      <c r="H75" s="23" t="s">
        <v>1433</v>
      </c>
      <c r="I75" s="23" t="s">
        <v>1434</v>
      </c>
      <c r="J75" s="23" t="s">
        <v>1434</v>
      </c>
      <c r="K75" s="23" t="s">
        <v>1434</v>
      </c>
      <c r="L75" s="23" t="s">
        <v>1434</v>
      </c>
      <c r="M75" s="23" t="s">
        <v>1443</v>
      </c>
      <c r="N75" s="23" t="s">
        <v>1448</v>
      </c>
      <c r="O75" s="23" t="s">
        <v>1448</v>
      </c>
      <c r="P75" s="23" t="s">
        <v>1448</v>
      </c>
      <c r="Q75" s="23" t="s">
        <v>1448</v>
      </c>
      <c r="R75" s="23" t="s">
        <v>1449</v>
      </c>
      <c r="S75" s="54"/>
    </row>
    <row r="76" spans="1:19" ht="38.25" customHeight="1" x14ac:dyDescent="0.25">
      <c r="A76" s="66" t="s">
        <v>94</v>
      </c>
      <c r="B76" s="28"/>
      <c r="C76" s="28"/>
      <c r="D76" s="4" t="s">
        <v>1116</v>
      </c>
      <c r="E76" s="4" t="s">
        <v>1117</v>
      </c>
      <c r="F76" s="4" t="s">
        <v>95</v>
      </c>
      <c r="G76" s="4" t="s">
        <v>96</v>
      </c>
      <c r="H76" s="28"/>
      <c r="I76" s="27"/>
      <c r="J76" s="27"/>
      <c r="K76" s="27"/>
      <c r="L76" s="27"/>
      <c r="M76" s="24" t="e">
        <f>IF(SUM(I76:L76)=H76,SUM(I76:L76)*100%/H76,"Dato erroneo no cumple con la meta Absoluta (establecida)")</f>
        <v>#DIV/0!</v>
      </c>
      <c r="N76" s="27"/>
      <c r="O76" s="27"/>
      <c r="P76" s="27"/>
      <c r="Q76" s="27"/>
      <c r="R76" s="24" t="e">
        <f>SUM(N76:Q76)*100%/H76</f>
        <v>#DIV/0!</v>
      </c>
      <c r="S76" s="15"/>
    </row>
    <row r="77" spans="1:19" ht="38.25" x14ac:dyDescent="0.25">
      <c r="A77" s="67"/>
      <c r="B77" s="28"/>
      <c r="C77" s="28"/>
      <c r="D77" s="4" t="s">
        <v>1118</v>
      </c>
      <c r="E77" s="4" t="s">
        <v>1119</v>
      </c>
      <c r="F77" s="4" t="s">
        <v>1120</v>
      </c>
      <c r="G77" s="4" t="s">
        <v>1121</v>
      </c>
      <c r="H77" s="28"/>
      <c r="I77" s="27"/>
      <c r="J77" s="27"/>
      <c r="K77" s="27"/>
      <c r="L77" s="27"/>
      <c r="M77" s="24" t="e">
        <f t="shared" ref="M77:M83" si="8">IF(SUM(I77:L77)=H77,SUM(I77:L77)*100%/H77,"Dato erroneo no cumple con la meta Absoluta (establecida)")</f>
        <v>#DIV/0!</v>
      </c>
      <c r="N77" s="27"/>
      <c r="O77" s="27"/>
      <c r="P77" s="27"/>
      <c r="Q77" s="27"/>
      <c r="R77" s="24" t="e">
        <f t="shared" ref="R77:R83" si="9">SUM(N77:Q77)*100%/H77</f>
        <v>#DIV/0!</v>
      </c>
      <c r="S77" s="15"/>
    </row>
    <row r="78" spans="1:19" ht="51" x14ac:dyDescent="0.25">
      <c r="A78" s="67"/>
      <c r="B78" s="28"/>
      <c r="C78" s="28"/>
      <c r="D78" s="4" t="s">
        <v>1122</v>
      </c>
      <c r="E78" s="4" t="s">
        <v>1123</v>
      </c>
      <c r="F78" s="4" t="s">
        <v>1124</v>
      </c>
      <c r="G78" s="4" t="s">
        <v>1125</v>
      </c>
      <c r="H78" s="28"/>
      <c r="I78" s="27"/>
      <c r="J78" s="27"/>
      <c r="K78" s="27"/>
      <c r="L78" s="27"/>
      <c r="M78" s="24" t="e">
        <f t="shared" si="8"/>
        <v>#DIV/0!</v>
      </c>
      <c r="N78" s="27"/>
      <c r="O78" s="27"/>
      <c r="P78" s="27"/>
      <c r="Q78" s="27"/>
      <c r="R78" s="24" t="e">
        <f t="shared" si="9"/>
        <v>#DIV/0!</v>
      </c>
      <c r="S78" s="15"/>
    </row>
    <row r="79" spans="1:19" ht="38.25" x14ac:dyDescent="0.25">
      <c r="A79" s="67"/>
      <c r="B79" s="28"/>
      <c r="C79" s="28"/>
      <c r="D79" s="4" t="s">
        <v>1126</v>
      </c>
      <c r="E79" s="4" t="s">
        <v>1127</v>
      </c>
      <c r="F79" s="4" t="s">
        <v>1128</v>
      </c>
      <c r="G79" s="4" t="s">
        <v>1129</v>
      </c>
      <c r="H79" s="28"/>
      <c r="I79" s="27"/>
      <c r="J79" s="27"/>
      <c r="K79" s="27"/>
      <c r="L79" s="27"/>
      <c r="M79" s="24" t="e">
        <f t="shared" si="8"/>
        <v>#DIV/0!</v>
      </c>
      <c r="N79" s="27"/>
      <c r="O79" s="27"/>
      <c r="P79" s="27"/>
      <c r="Q79" s="27"/>
      <c r="R79" s="24" t="e">
        <f t="shared" si="9"/>
        <v>#DIV/0!</v>
      </c>
      <c r="S79" s="15"/>
    </row>
    <row r="80" spans="1:19" ht="51" x14ac:dyDescent="0.25">
      <c r="A80" s="67"/>
      <c r="B80" s="28"/>
      <c r="C80" s="28"/>
      <c r="D80" s="4" t="s">
        <v>1130</v>
      </c>
      <c r="E80" s="4" t="s">
        <v>696</v>
      </c>
      <c r="F80" s="4" t="s">
        <v>1131</v>
      </c>
      <c r="G80" s="4" t="s">
        <v>1132</v>
      </c>
      <c r="H80" s="28"/>
      <c r="I80" s="27"/>
      <c r="J80" s="27"/>
      <c r="K80" s="27"/>
      <c r="L80" s="27"/>
      <c r="M80" s="24" t="e">
        <f t="shared" si="8"/>
        <v>#DIV/0!</v>
      </c>
      <c r="N80" s="27"/>
      <c r="O80" s="27"/>
      <c r="P80" s="27"/>
      <c r="Q80" s="27"/>
      <c r="R80" s="24" t="e">
        <f t="shared" si="9"/>
        <v>#DIV/0!</v>
      </c>
      <c r="S80" s="15"/>
    </row>
    <row r="81" spans="1:19" ht="51" x14ac:dyDescent="0.25">
      <c r="A81" s="67"/>
      <c r="B81" s="28"/>
      <c r="C81" s="28"/>
      <c r="D81" s="4" t="s">
        <v>1133</v>
      </c>
      <c r="E81" s="4" t="s">
        <v>1134</v>
      </c>
      <c r="F81" s="4" t="s">
        <v>1135</v>
      </c>
      <c r="G81" s="4" t="s">
        <v>1136</v>
      </c>
      <c r="H81" s="28"/>
      <c r="I81" s="27"/>
      <c r="J81" s="27"/>
      <c r="K81" s="27"/>
      <c r="L81" s="27"/>
      <c r="M81" s="24" t="e">
        <f t="shared" si="8"/>
        <v>#DIV/0!</v>
      </c>
      <c r="N81" s="27"/>
      <c r="O81" s="27"/>
      <c r="P81" s="27"/>
      <c r="Q81" s="27"/>
      <c r="R81" s="24" t="e">
        <f t="shared" si="9"/>
        <v>#DIV/0!</v>
      </c>
      <c r="S81" s="15"/>
    </row>
    <row r="82" spans="1:19" ht="63.75" x14ac:dyDescent="0.25">
      <c r="A82" s="67"/>
      <c r="B82" s="28"/>
      <c r="C82" s="28"/>
      <c r="D82" s="4" t="s">
        <v>1137</v>
      </c>
      <c r="E82" s="4" t="s">
        <v>1138</v>
      </c>
      <c r="F82" s="4" t="s">
        <v>1139</v>
      </c>
      <c r="G82" s="4" t="s">
        <v>1140</v>
      </c>
      <c r="H82" s="28"/>
      <c r="I82" s="27"/>
      <c r="J82" s="27"/>
      <c r="K82" s="27"/>
      <c r="L82" s="27"/>
      <c r="M82" s="24" t="e">
        <f t="shared" si="8"/>
        <v>#DIV/0!</v>
      </c>
      <c r="N82" s="27"/>
      <c r="O82" s="27"/>
      <c r="P82" s="27"/>
      <c r="Q82" s="27"/>
      <c r="R82" s="24" t="e">
        <f t="shared" si="9"/>
        <v>#DIV/0!</v>
      </c>
      <c r="S82" s="15"/>
    </row>
    <row r="83" spans="1:19" ht="63.75" x14ac:dyDescent="0.25">
      <c r="A83" s="68"/>
      <c r="B83" s="28"/>
      <c r="C83" s="28"/>
      <c r="D83" s="4" t="s">
        <v>1141</v>
      </c>
      <c r="E83" s="4" t="s">
        <v>1142</v>
      </c>
      <c r="F83" s="4" t="s">
        <v>1143</v>
      </c>
      <c r="G83" s="4" t="s">
        <v>97</v>
      </c>
      <c r="H83" s="28"/>
      <c r="I83" s="27"/>
      <c r="J83" s="27"/>
      <c r="K83" s="27"/>
      <c r="L83" s="27"/>
      <c r="M83" s="24" t="e">
        <f t="shared" si="8"/>
        <v>#DIV/0!</v>
      </c>
      <c r="N83" s="27"/>
      <c r="O83" s="27"/>
      <c r="P83" s="27"/>
      <c r="Q83" s="27"/>
      <c r="R83" s="24" t="e">
        <f t="shared" si="9"/>
        <v>#DIV/0!</v>
      </c>
      <c r="S83" s="15"/>
    </row>
    <row r="84" spans="1:19" ht="15" x14ac:dyDescent="0.25">
      <c r="A84" s="35" t="s">
        <v>98</v>
      </c>
      <c r="B84" s="35"/>
      <c r="C84" s="35"/>
      <c r="D84" s="35"/>
      <c r="E84" s="35"/>
      <c r="F84" s="35"/>
      <c r="G84" s="35"/>
      <c r="H84"/>
      <c r="I84"/>
      <c r="J84"/>
      <c r="K84"/>
      <c r="L84"/>
      <c r="M84"/>
      <c r="N84"/>
      <c r="O84"/>
      <c r="P84"/>
      <c r="Q84"/>
      <c r="R84"/>
    </row>
    <row r="85" spans="1:19" ht="15" x14ac:dyDescent="0.25">
      <c r="A85" s="36"/>
      <c r="B85" s="36"/>
      <c r="C85" s="36"/>
      <c r="D85" s="36"/>
      <c r="E85" s="36"/>
      <c r="F85" s="36"/>
      <c r="G85" s="36"/>
      <c r="H85"/>
      <c r="I85"/>
      <c r="J85"/>
      <c r="K85"/>
      <c r="L85"/>
      <c r="M85"/>
      <c r="N85"/>
      <c r="O85"/>
      <c r="P85"/>
      <c r="Q85"/>
      <c r="R85"/>
    </row>
    <row r="86" spans="1:19" ht="15" x14ac:dyDescent="0.25">
      <c r="A86" s="36"/>
      <c r="B86" s="36"/>
      <c r="C86" s="36"/>
      <c r="D86" s="36"/>
      <c r="E86" s="36"/>
      <c r="F86" s="36"/>
      <c r="G86" s="36"/>
      <c r="H86"/>
      <c r="I86"/>
      <c r="J86"/>
      <c r="K86"/>
      <c r="L86"/>
      <c r="M86"/>
      <c r="N86"/>
      <c r="O86"/>
      <c r="P86"/>
      <c r="Q86"/>
      <c r="R86"/>
    </row>
    <row r="87" spans="1:19" x14ac:dyDescent="0.25">
      <c r="A87" s="36"/>
      <c r="B87" s="36"/>
      <c r="C87" s="36"/>
      <c r="D87" s="36"/>
      <c r="E87" s="36"/>
      <c r="F87" s="36"/>
      <c r="G87" s="36"/>
    </row>
    <row r="88" spans="1:19" x14ac:dyDescent="0.25">
      <c r="A88" s="36"/>
      <c r="B88" s="36"/>
      <c r="C88" s="36"/>
      <c r="D88" s="36"/>
      <c r="E88" s="36"/>
      <c r="F88" s="36"/>
      <c r="G88" s="36"/>
    </row>
    <row r="89" spans="1:19" x14ac:dyDescent="0.25">
      <c r="A89" s="18"/>
      <c r="B89" s="18"/>
      <c r="C89" s="18"/>
    </row>
    <row r="90" spans="1:19" x14ac:dyDescent="0.25">
      <c r="A90" s="113" t="s">
        <v>682</v>
      </c>
      <c r="B90" s="113"/>
      <c r="C90" s="113"/>
      <c r="D90" s="113"/>
      <c r="E90" s="113"/>
      <c r="F90" s="113"/>
      <c r="G90" s="114"/>
      <c r="H90" s="72">
        <v>2025</v>
      </c>
      <c r="I90" s="25" t="s">
        <v>1435</v>
      </c>
      <c r="J90" s="25" t="s">
        <v>1440</v>
      </c>
      <c r="K90" s="25" t="s">
        <v>1441</v>
      </c>
      <c r="L90" s="25" t="s">
        <v>1442</v>
      </c>
      <c r="M90" s="25" t="s">
        <v>1444</v>
      </c>
      <c r="N90" s="25" t="s">
        <v>1435</v>
      </c>
      <c r="O90" s="25" t="s">
        <v>1440</v>
      </c>
      <c r="P90" s="25" t="s">
        <v>1441</v>
      </c>
      <c r="Q90" s="25" t="s">
        <v>1442</v>
      </c>
      <c r="R90" s="25" t="s">
        <v>1445</v>
      </c>
      <c r="S90" s="54" t="s">
        <v>1447</v>
      </c>
    </row>
    <row r="91" spans="1:19" ht="15" customHeight="1" x14ac:dyDescent="0.25">
      <c r="A91" s="80" t="s">
        <v>38</v>
      </c>
      <c r="B91" s="80"/>
      <c r="C91" s="80"/>
      <c r="D91" s="80"/>
      <c r="E91" s="80"/>
      <c r="F91" s="80"/>
      <c r="G91" s="80"/>
      <c r="H91" s="72"/>
      <c r="I91" s="73" t="s">
        <v>1436</v>
      </c>
      <c r="J91" s="73" t="s">
        <v>1437</v>
      </c>
      <c r="K91" s="73" t="s">
        <v>1438</v>
      </c>
      <c r="L91" s="73" t="s">
        <v>1439</v>
      </c>
      <c r="M91" s="73" t="s">
        <v>55</v>
      </c>
      <c r="N91" s="73" t="s">
        <v>1436</v>
      </c>
      <c r="O91" s="73" t="s">
        <v>1437</v>
      </c>
      <c r="P91" s="73" t="s">
        <v>1438</v>
      </c>
      <c r="Q91" s="73" t="s">
        <v>1439</v>
      </c>
      <c r="R91" s="73" t="s">
        <v>55</v>
      </c>
      <c r="S91" s="54"/>
    </row>
    <row r="92" spans="1:19" ht="12.75" customHeight="1" x14ac:dyDescent="0.25">
      <c r="A92" s="82"/>
      <c r="B92" s="82"/>
      <c r="C92" s="82"/>
      <c r="D92" s="82"/>
      <c r="E92" s="82"/>
      <c r="F92" s="82"/>
      <c r="G92" s="82"/>
      <c r="H92" s="72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54"/>
    </row>
    <row r="93" spans="1:19" x14ac:dyDescent="0.25">
      <c r="A93" s="10" t="s">
        <v>1</v>
      </c>
      <c r="B93" s="10" t="s">
        <v>1428</v>
      </c>
      <c r="C93" s="23" t="s">
        <v>1446</v>
      </c>
      <c r="D93" s="10" t="s">
        <v>2</v>
      </c>
      <c r="E93" s="10" t="s">
        <v>3</v>
      </c>
      <c r="F93" s="10" t="s">
        <v>4</v>
      </c>
      <c r="G93" s="10" t="s">
        <v>5</v>
      </c>
      <c r="H93" s="23" t="s">
        <v>1433</v>
      </c>
      <c r="I93" s="23" t="s">
        <v>1434</v>
      </c>
      <c r="J93" s="23" t="s">
        <v>1434</v>
      </c>
      <c r="K93" s="23" t="s">
        <v>1434</v>
      </c>
      <c r="L93" s="23" t="s">
        <v>1434</v>
      </c>
      <c r="M93" s="23" t="s">
        <v>1443</v>
      </c>
      <c r="N93" s="23" t="s">
        <v>1448</v>
      </c>
      <c r="O93" s="23" t="s">
        <v>1448</v>
      </c>
      <c r="P93" s="23" t="s">
        <v>1448</v>
      </c>
      <c r="Q93" s="23" t="s">
        <v>1448</v>
      </c>
      <c r="R93" s="23" t="s">
        <v>1449</v>
      </c>
      <c r="S93" s="54"/>
    </row>
    <row r="94" spans="1:19" ht="51" customHeight="1" x14ac:dyDescent="0.25">
      <c r="A94" s="84" t="s">
        <v>1144</v>
      </c>
      <c r="B94" s="28"/>
      <c r="C94" s="28"/>
      <c r="D94" s="12" t="s">
        <v>1145</v>
      </c>
      <c r="E94" s="12" t="s">
        <v>1146</v>
      </c>
      <c r="F94" s="12" t="s">
        <v>1147</v>
      </c>
      <c r="G94" s="3" t="s">
        <v>1148</v>
      </c>
      <c r="H94" s="28"/>
      <c r="I94" s="27"/>
      <c r="J94" s="27"/>
      <c r="K94" s="27"/>
      <c r="L94" s="27"/>
      <c r="M94" s="24" t="e">
        <f>IF(SUM(I94:L94)=H94,SUM(I94:L94)*100%/H94,"Dato erroneo no cumple con la meta Absoluta (establecida)")</f>
        <v>#DIV/0!</v>
      </c>
      <c r="N94" s="27"/>
      <c r="O94" s="27"/>
      <c r="P94" s="27"/>
      <c r="Q94" s="27"/>
      <c r="R94" s="24" t="e">
        <f>SUM(N94:Q94)*100%/H94</f>
        <v>#DIV/0!</v>
      </c>
      <c r="S94" s="15"/>
    </row>
    <row r="95" spans="1:19" ht="51" x14ac:dyDescent="0.25">
      <c r="A95" s="85"/>
      <c r="B95" s="28"/>
      <c r="C95" s="28"/>
      <c r="D95" s="12" t="s">
        <v>1149</v>
      </c>
      <c r="E95" s="12" t="s">
        <v>1150</v>
      </c>
      <c r="F95" s="12" t="s">
        <v>113</v>
      </c>
      <c r="G95" s="3" t="s">
        <v>1151</v>
      </c>
      <c r="H95" s="28"/>
      <c r="I95" s="27"/>
      <c r="J95" s="27"/>
      <c r="K95" s="27"/>
      <c r="L95" s="27"/>
      <c r="M95" s="24" t="e">
        <f t="shared" ref="M95:M99" si="10">IF(SUM(I95:L95)=H95,SUM(I95:L95)*100%/H95,"Dato erroneo no cumple con la meta Absoluta (establecida)")</f>
        <v>#DIV/0!</v>
      </c>
      <c r="N95" s="27"/>
      <c r="O95" s="27"/>
      <c r="P95" s="27"/>
      <c r="Q95" s="27"/>
      <c r="R95" s="24" t="e">
        <f t="shared" ref="R95:R99" si="11">SUM(N95:Q95)*100%/H95</f>
        <v>#DIV/0!</v>
      </c>
      <c r="S95" s="15"/>
    </row>
    <row r="96" spans="1:19" ht="51" x14ac:dyDescent="0.25">
      <c r="A96" s="85"/>
      <c r="B96" s="28"/>
      <c r="C96" s="28"/>
      <c r="D96" s="12" t="s">
        <v>1152</v>
      </c>
      <c r="E96" s="12" t="s">
        <v>1153</v>
      </c>
      <c r="F96" s="12" t="s">
        <v>114</v>
      </c>
      <c r="G96" s="3" t="s">
        <v>1154</v>
      </c>
      <c r="H96" s="28"/>
      <c r="I96" s="27"/>
      <c r="J96" s="27"/>
      <c r="K96" s="27"/>
      <c r="L96" s="27"/>
      <c r="M96" s="24" t="e">
        <f t="shared" si="10"/>
        <v>#DIV/0!</v>
      </c>
      <c r="N96" s="27"/>
      <c r="O96" s="27"/>
      <c r="P96" s="27"/>
      <c r="Q96" s="27"/>
      <c r="R96" s="24" t="e">
        <f t="shared" si="11"/>
        <v>#DIV/0!</v>
      </c>
      <c r="S96" s="15"/>
    </row>
    <row r="97" spans="1:19" ht="38.25" x14ac:dyDescent="0.25">
      <c r="A97" s="85"/>
      <c r="B97" s="28"/>
      <c r="C97" s="28"/>
      <c r="D97" s="12" t="s">
        <v>1155</v>
      </c>
      <c r="E97" s="12" t="s">
        <v>1156</v>
      </c>
      <c r="F97" s="12" t="s">
        <v>1157</v>
      </c>
      <c r="G97" s="3" t="s">
        <v>1158</v>
      </c>
      <c r="H97" s="28"/>
      <c r="I97" s="27"/>
      <c r="J97" s="27"/>
      <c r="K97" s="27"/>
      <c r="L97" s="27"/>
      <c r="M97" s="24" t="e">
        <f t="shared" si="10"/>
        <v>#DIV/0!</v>
      </c>
      <c r="N97" s="27"/>
      <c r="O97" s="27"/>
      <c r="P97" s="27"/>
      <c r="Q97" s="27"/>
      <c r="R97" s="24" t="e">
        <f t="shared" si="11"/>
        <v>#DIV/0!</v>
      </c>
      <c r="S97" s="15"/>
    </row>
    <row r="98" spans="1:19" ht="51" x14ac:dyDescent="0.25">
      <c r="A98" s="85"/>
      <c r="B98" s="28"/>
      <c r="C98" s="28"/>
      <c r="D98" s="12" t="s">
        <v>1159</v>
      </c>
      <c r="E98" s="12" t="s">
        <v>115</v>
      </c>
      <c r="F98" s="12" t="s">
        <v>1160</v>
      </c>
      <c r="G98" s="3" t="s">
        <v>1161</v>
      </c>
      <c r="H98" s="28"/>
      <c r="I98" s="27"/>
      <c r="J98" s="27"/>
      <c r="K98" s="27"/>
      <c r="L98" s="27"/>
      <c r="M98" s="24" t="e">
        <f t="shared" si="10"/>
        <v>#DIV/0!</v>
      </c>
      <c r="N98" s="27"/>
      <c r="O98" s="27"/>
      <c r="P98" s="27"/>
      <c r="Q98" s="27"/>
      <c r="R98" s="24" t="e">
        <f t="shared" si="11"/>
        <v>#DIV/0!</v>
      </c>
      <c r="S98" s="15"/>
    </row>
    <row r="99" spans="1:19" ht="25.5" x14ac:dyDescent="0.25">
      <c r="A99" s="86"/>
      <c r="B99" s="28"/>
      <c r="C99" s="28"/>
      <c r="D99" s="12" t="s">
        <v>1162</v>
      </c>
      <c r="E99" s="12" t="s">
        <v>1163</v>
      </c>
      <c r="F99" s="12" t="s">
        <v>1164</v>
      </c>
      <c r="G99" s="3" t="s">
        <v>1165</v>
      </c>
      <c r="H99" s="28"/>
      <c r="I99" s="27"/>
      <c r="J99" s="27"/>
      <c r="K99" s="27"/>
      <c r="L99" s="27"/>
      <c r="M99" s="24" t="e">
        <f t="shared" si="10"/>
        <v>#DIV/0!</v>
      </c>
      <c r="N99" s="27"/>
      <c r="O99" s="27"/>
      <c r="P99" s="27"/>
      <c r="Q99" s="27"/>
      <c r="R99" s="24" t="e">
        <f t="shared" si="11"/>
        <v>#DIV/0!</v>
      </c>
      <c r="S99" s="15"/>
    </row>
    <row r="100" spans="1:19" ht="15" x14ac:dyDescent="0.25">
      <c r="A100" s="36" t="s">
        <v>39</v>
      </c>
      <c r="B100" s="36"/>
      <c r="C100" s="36"/>
      <c r="D100" s="36"/>
      <c r="E100" s="36"/>
      <c r="F100" s="36"/>
      <c r="G100" s="36"/>
      <c r="H100"/>
      <c r="I100"/>
      <c r="J100"/>
      <c r="K100"/>
      <c r="L100"/>
      <c r="M100"/>
      <c r="N100"/>
      <c r="O100"/>
      <c r="P100"/>
      <c r="Q100"/>
      <c r="R100"/>
      <c r="S100"/>
    </row>
    <row r="101" spans="1:19" ht="15" x14ac:dyDescent="0.25">
      <c r="A101" s="36"/>
      <c r="B101" s="36"/>
      <c r="C101" s="36"/>
      <c r="D101" s="36"/>
      <c r="E101" s="36"/>
      <c r="F101" s="36"/>
      <c r="G101" s="36"/>
      <c r="H101"/>
      <c r="I101"/>
      <c r="J101"/>
      <c r="K101"/>
      <c r="L101"/>
      <c r="M101"/>
      <c r="N101"/>
      <c r="O101"/>
      <c r="P101"/>
      <c r="Q101"/>
      <c r="R101"/>
      <c r="S101"/>
    </row>
    <row r="102" spans="1:19" ht="15" x14ac:dyDescent="0.25">
      <c r="A102" s="36"/>
      <c r="B102" s="36"/>
      <c r="C102" s="36"/>
      <c r="D102" s="36"/>
      <c r="E102" s="36"/>
      <c r="F102" s="36"/>
      <c r="G102" s="36"/>
      <c r="H102"/>
      <c r="I102"/>
      <c r="J102"/>
      <c r="K102"/>
      <c r="L102"/>
      <c r="M102"/>
      <c r="N102"/>
      <c r="O102"/>
      <c r="P102"/>
      <c r="Q102"/>
      <c r="R102"/>
      <c r="S102"/>
    </row>
    <row r="103" spans="1:19" ht="15" x14ac:dyDescent="0.25">
      <c r="A103" s="36"/>
      <c r="B103" s="36"/>
      <c r="C103" s="36"/>
      <c r="D103" s="36"/>
      <c r="E103" s="36"/>
      <c r="F103" s="36"/>
      <c r="G103" s="36"/>
      <c r="H103"/>
      <c r="I103"/>
      <c r="J103"/>
      <c r="K103"/>
      <c r="L103"/>
      <c r="M103"/>
      <c r="N103"/>
      <c r="O103"/>
      <c r="P103"/>
      <c r="Q103"/>
      <c r="R103"/>
      <c r="S103"/>
    </row>
    <row r="104" spans="1:19" x14ac:dyDescent="0.25">
      <c r="A104" s="36"/>
      <c r="B104" s="36"/>
      <c r="C104" s="36"/>
      <c r="D104" s="36"/>
      <c r="E104" s="36"/>
      <c r="F104" s="36"/>
      <c r="G104" s="36"/>
    </row>
    <row r="105" spans="1:19" x14ac:dyDescent="0.25">
      <c r="A105" s="8"/>
      <c r="B105" s="8"/>
      <c r="C105" s="8"/>
      <c r="D105" s="8"/>
      <c r="E105" s="8"/>
      <c r="F105" s="8"/>
      <c r="G105" s="8"/>
    </row>
    <row r="106" spans="1:19" x14ac:dyDescent="0.25">
      <c r="A106" s="113" t="s">
        <v>682</v>
      </c>
      <c r="B106" s="113"/>
      <c r="C106" s="113"/>
      <c r="D106" s="113"/>
      <c r="E106" s="113"/>
      <c r="F106" s="113"/>
      <c r="G106" s="114"/>
      <c r="H106" s="72">
        <v>2025</v>
      </c>
      <c r="I106" s="25" t="s">
        <v>1435</v>
      </c>
      <c r="J106" s="25" t="s">
        <v>1440</v>
      </c>
      <c r="K106" s="25" t="s">
        <v>1441</v>
      </c>
      <c r="L106" s="25" t="s">
        <v>1442</v>
      </c>
      <c r="M106" s="25" t="s">
        <v>1444</v>
      </c>
      <c r="N106" s="25" t="s">
        <v>1435</v>
      </c>
      <c r="O106" s="25" t="s">
        <v>1440</v>
      </c>
      <c r="P106" s="25" t="s">
        <v>1441</v>
      </c>
      <c r="Q106" s="25" t="s">
        <v>1442</v>
      </c>
      <c r="R106" s="25" t="s">
        <v>1445</v>
      </c>
      <c r="S106" s="54" t="s">
        <v>1447</v>
      </c>
    </row>
    <row r="107" spans="1:19" ht="15" customHeight="1" x14ac:dyDescent="0.25">
      <c r="A107" s="97" t="s">
        <v>40</v>
      </c>
      <c r="B107" s="80"/>
      <c r="C107" s="80"/>
      <c r="D107" s="80"/>
      <c r="E107" s="80"/>
      <c r="F107" s="80"/>
      <c r="G107" s="81"/>
      <c r="H107" s="72"/>
      <c r="I107" s="73" t="s">
        <v>1436</v>
      </c>
      <c r="J107" s="73" t="s">
        <v>1437</v>
      </c>
      <c r="K107" s="73" t="s">
        <v>1438</v>
      </c>
      <c r="L107" s="73" t="s">
        <v>1439</v>
      </c>
      <c r="M107" s="73" t="s">
        <v>55</v>
      </c>
      <c r="N107" s="73" t="s">
        <v>1436</v>
      </c>
      <c r="O107" s="73" t="s">
        <v>1437</v>
      </c>
      <c r="P107" s="73" t="s">
        <v>1438</v>
      </c>
      <c r="Q107" s="73" t="s">
        <v>1439</v>
      </c>
      <c r="R107" s="73" t="s">
        <v>55</v>
      </c>
      <c r="S107" s="54"/>
    </row>
    <row r="108" spans="1:19" ht="12.75" customHeight="1" x14ac:dyDescent="0.25">
      <c r="A108" s="98"/>
      <c r="B108" s="99"/>
      <c r="C108" s="99"/>
      <c r="D108" s="99"/>
      <c r="E108" s="99"/>
      <c r="F108" s="99"/>
      <c r="G108" s="100"/>
      <c r="H108" s="72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54"/>
    </row>
    <row r="109" spans="1:19" x14ac:dyDescent="0.25">
      <c r="A109" s="10" t="s">
        <v>1</v>
      </c>
      <c r="B109" s="10" t="s">
        <v>1428</v>
      </c>
      <c r="C109" s="23" t="s">
        <v>1446</v>
      </c>
      <c r="D109" s="10" t="s">
        <v>2</v>
      </c>
      <c r="E109" s="10" t="s">
        <v>3</v>
      </c>
      <c r="F109" s="10" t="s">
        <v>4</v>
      </c>
      <c r="G109" s="10" t="s">
        <v>5</v>
      </c>
      <c r="H109" s="23" t="s">
        <v>1433</v>
      </c>
      <c r="I109" s="23" t="s">
        <v>1434</v>
      </c>
      <c r="J109" s="23" t="s">
        <v>1434</v>
      </c>
      <c r="K109" s="23" t="s">
        <v>1434</v>
      </c>
      <c r="L109" s="23" t="s">
        <v>1434</v>
      </c>
      <c r="M109" s="23" t="s">
        <v>1443</v>
      </c>
      <c r="N109" s="23" t="s">
        <v>1448</v>
      </c>
      <c r="O109" s="23" t="s">
        <v>1448</v>
      </c>
      <c r="P109" s="23" t="s">
        <v>1448</v>
      </c>
      <c r="Q109" s="23" t="s">
        <v>1448</v>
      </c>
      <c r="R109" s="23" t="s">
        <v>1449</v>
      </c>
      <c r="S109" s="54"/>
    </row>
    <row r="110" spans="1:19" ht="38.25" x14ac:dyDescent="0.25">
      <c r="A110" s="66" t="s">
        <v>104</v>
      </c>
      <c r="B110" s="28"/>
      <c r="C110" s="28"/>
      <c r="D110" s="4" t="s">
        <v>1166</v>
      </c>
      <c r="E110" s="4" t="s">
        <v>1167</v>
      </c>
      <c r="F110" s="4" t="s">
        <v>1168</v>
      </c>
      <c r="G110" s="4" t="s">
        <v>1169</v>
      </c>
      <c r="H110" s="28"/>
      <c r="I110" s="27"/>
      <c r="J110" s="27"/>
      <c r="K110" s="27"/>
      <c r="L110" s="27"/>
      <c r="M110" s="24" t="e">
        <f>IF(SUM(I110:L110)=H110,SUM(I110:L110)*100%/H110,"Dato erroneo no cumple con la meta Absoluta (establecida)")</f>
        <v>#DIV/0!</v>
      </c>
      <c r="N110" s="27"/>
      <c r="O110" s="27"/>
      <c r="P110" s="27"/>
      <c r="Q110" s="27"/>
      <c r="R110" s="24" t="e">
        <f>SUM(N110:Q110)*100%/H110</f>
        <v>#DIV/0!</v>
      </c>
      <c r="S110" s="15"/>
    </row>
    <row r="111" spans="1:19" ht="38.25" x14ac:dyDescent="0.25">
      <c r="A111" s="67"/>
      <c r="B111" s="28"/>
      <c r="C111" s="28"/>
      <c r="D111" s="4" t="s">
        <v>1170</v>
      </c>
      <c r="E111" s="4" t="s">
        <v>1171</v>
      </c>
      <c r="F111" s="4" t="s">
        <v>1172</v>
      </c>
      <c r="G111" s="4" t="s">
        <v>1173</v>
      </c>
      <c r="H111" s="28"/>
      <c r="I111" s="27"/>
      <c r="J111" s="27"/>
      <c r="K111" s="27"/>
      <c r="L111" s="27"/>
      <c r="M111" s="24" t="e">
        <f t="shared" ref="M111:M119" si="12">IF(SUM(I111:L111)=H111,SUM(I111:L111)*100%/H111,"Dato erroneo no cumple con la meta Absoluta (establecida)")</f>
        <v>#DIV/0!</v>
      </c>
      <c r="N111" s="27"/>
      <c r="O111" s="27"/>
      <c r="P111" s="27"/>
      <c r="Q111" s="27"/>
      <c r="R111" s="24" t="e">
        <f t="shared" ref="R111:R119" si="13">SUM(N111:Q111)*100%/H111</f>
        <v>#DIV/0!</v>
      </c>
      <c r="S111" s="15"/>
    </row>
    <row r="112" spans="1:19" ht="38.25" x14ac:dyDescent="0.25">
      <c r="A112" s="67"/>
      <c r="B112" s="28"/>
      <c r="C112" s="28"/>
      <c r="D112" s="4" t="s">
        <v>1174</v>
      </c>
      <c r="E112" s="4" t="s">
        <v>1175</v>
      </c>
      <c r="F112" s="4" t="s">
        <v>1176</v>
      </c>
      <c r="G112" s="4" t="s">
        <v>1177</v>
      </c>
      <c r="H112" s="28"/>
      <c r="I112" s="27"/>
      <c r="J112" s="27"/>
      <c r="K112" s="27"/>
      <c r="L112" s="27"/>
      <c r="M112" s="24" t="e">
        <f t="shared" si="12"/>
        <v>#DIV/0!</v>
      </c>
      <c r="N112" s="27"/>
      <c r="O112" s="27"/>
      <c r="P112" s="27"/>
      <c r="Q112" s="27"/>
      <c r="R112" s="24" t="e">
        <f t="shared" si="13"/>
        <v>#DIV/0!</v>
      </c>
      <c r="S112" s="15"/>
    </row>
    <row r="113" spans="1:19" ht="38.25" x14ac:dyDescent="0.25">
      <c r="A113" s="67"/>
      <c r="B113" s="28"/>
      <c r="C113" s="28"/>
      <c r="D113" s="4" t="s">
        <v>1178</v>
      </c>
      <c r="E113" s="4" t="s">
        <v>1179</v>
      </c>
      <c r="F113" s="4" t="s">
        <v>1180</v>
      </c>
      <c r="G113" s="4" t="s">
        <v>1181</v>
      </c>
      <c r="H113" s="28"/>
      <c r="I113" s="27"/>
      <c r="J113" s="27"/>
      <c r="K113" s="27"/>
      <c r="L113" s="27"/>
      <c r="M113" s="24" t="e">
        <f t="shared" si="12"/>
        <v>#DIV/0!</v>
      </c>
      <c r="N113" s="27"/>
      <c r="O113" s="27"/>
      <c r="P113" s="27"/>
      <c r="Q113" s="27"/>
      <c r="R113" s="24" t="e">
        <f t="shared" si="13"/>
        <v>#DIV/0!</v>
      </c>
      <c r="S113" s="15"/>
    </row>
    <row r="114" spans="1:19" ht="38.25" x14ac:dyDescent="0.25">
      <c r="A114" s="67"/>
      <c r="B114" s="28"/>
      <c r="C114" s="28"/>
      <c r="D114" s="4" t="s">
        <v>1182</v>
      </c>
      <c r="E114" s="4" t="s">
        <v>1183</v>
      </c>
      <c r="F114" s="4" t="s">
        <v>1184</v>
      </c>
      <c r="G114" s="4" t="s">
        <v>1185</v>
      </c>
      <c r="H114" s="28"/>
      <c r="I114" s="27"/>
      <c r="J114" s="27"/>
      <c r="K114" s="27"/>
      <c r="L114" s="27"/>
      <c r="M114" s="24" t="e">
        <f t="shared" si="12"/>
        <v>#DIV/0!</v>
      </c>
      <c r="N114" s="27"/>
      <c r="O114" s="27"/>
      <c r="P114" s="27"/>
      <c r="Q114" s="27"/>
      <c r="R114" s="24" t="e">
        <f t="shared" si="13"/>
        <v>#DIV/0!</v>
      </c>
      <c r="S114" s="15"/>
    </row>
    <row r="115" spans="1:19" ht="51" x14ac:dyDescent="0.25">
      <c r="A115" s="67"/>
      <c r="B115" s="28"/>
      <c r="C115" s="28"/>
      <c r="D115" s="4" t="s">
        <v>1186</v>
      </c>
      <c r="E115" s="4" t="s">
        <v>1187</v>
      </c>
      <c r="F115" s="4" t="s">
        <v>1188</v>
      </c>
      <c r="G115" s="4" t="s">
        <v>1189</v>
      </c>
      <c r="H115" s="28"/>
      <c r="I115" s="27"/>
      <c r="J115" s="27"/>
      <c r="K115" s="27"/>
      <c r="L115" s="27"/>
      <c r="M115" s="24" t="e">
        <f t="shared" si="12"/>
        <v>#DIV/0!</v>
      </c>
      <c r="N115" s="27"/>
      <c r="O115" s="27"/>
      <c r="P115" s="27"/>
      <c r="Q115" s="27"/>
      <c r="R115" s="24" t="e">
        <f t="shared" si="13"/>
        <v>#DIV/0!</v>
      </c>
      <c r="S115" s="15"/>
    </row>
    <row r="116" spans="1:19" ht="63.75" x14ac:dyDescent="0.25">
      <c r="A116" s="67"/>
      <c r="B116" s="28"/>
      <c r="C116" s="28"/>
      <c r="D116" s="4" t="s">
        <v>1190</v>
      </c>
      <c r="E116" s="4" t="s">
        <v>1191</v>
      </c>
      <c r="F116" s="4" t="s">
        <v>1192</v>
      </c>
      <c r="G116" s="4" t="s">
        <v>1193</v>
      </c>
      <c r="H116" s="28"/>
      <c r="I116" s="27"/>
      <c r="J116" s="27"/>
      <c r="K116" s="27"/>
      <c r="L116" s="27"/>
      <c r="M116" s="24" t="e">
        <f t="shared" si="12"/>
        <v>#DIV/0!</v>
      </c>
      <c r="N116" s="27"/>
      <c r="O116" s="27"/>
      <c r="P116" s="27"/>
      <c r="Q116" s="27"/>
      <c r="R116" s="24" t="e">
        <f t="shared" si="13"/>
        <v>#DIV/0!</v>
      </c>
      <c r="S116" s="15"/>
    </row>
    <row r="117" spans="1:19" ht="25.5" x14ac:dyDescent="0.25">
      <c r="A117" s="67"/>
      <c r="B117" s="28"/>
      <c r="C117" s="28"/>
      <c r="D117" s="4" t="s">
        <v>1194</v>
      </c>
      <c r="E117" s="4" t="s">
        <v>1195</v>
      </c>
      <c r="F117" s="4" t="s">
        <v>1196</v>
      </c>
      <c r="G117" s="4" t="s">
        <v>1197</v>
      </c>
      <c r="H117" s="28"/>
      <c r="I117" s="27"/>
      <c r="J117" s="27"/>
      <c r="K117" s="27"/>
      <c r="L117" s="27"/>
      <c r="M117" s="24" t="e">
        <f t="shared" si="12"/>
        <v>#DIV/0!</v>
      </c>
      <c r="N117" s="27"/>
      <c r="O117" s="27"/>
      <c r="P117" s="27"/>
      <c r="Q117" s="27"/>
      <c r="R117" s="24" t="e">
        <f t="shared" si="13"/>
        <v>#DIV/0!</v>
      </c>
      <c r="S117" s="15"/>
    </row>
    <row r="118" spans="1:19" ht="51" x14ac:dyDescent="0.25">
      <c r="A118" s="67"/>
      <c r="B118" s="28"/>
      <c r="C118" s="28"/>
      <c r="D118" s="4" t="s">
        <v>101</v>
      </c>
      <c r="E118" s="4" t="s">
        <v>102</v>
      </c>
      <c r="F118" s="4" t="s">
        <v>103</v>
      </c>
      <c r="G118" s="4" t="s">
        <v>1198</v>
      </c>
      <c r="H118" s="28"/>
      <c r="I118" s="27"/>
      <c r="J118" s="27"/>
      <c r="K118" s="27"/>
      <c r="L118" s="27"/>
      <c r="M118" s="24" t="e">
        <f t="shared" si="12"/>
        <v>#DIV/0!</v>
      </c>
      <c r="N118" s="27"/>
      <c r="O118" s="27"/>
      <c r="P118" s="27"/>
      <c r="Q118" s="27"/>
      <c r="R118" s="24" t="e">
        <f t="shared" si="13"/>
        <v>#DIV/0!</v>
      </c>
      <c r="S118" s="15"/>
    </row>
    <row r="119" spans="1:19" ht="63.75" x14ac:dyDescent="0.25">
      <c r="A119" s="68"/>
      <c r="B119" s="28"/>
      <c r="C119" s="28"/>
      <c r="D119" s="4" t="s">
        <v>1199</v>
      </c>
      <c r="E119" s="4" t="s">
        <v>99</v>
      </c>
      <c r="F119" s="4" t="s">
        <v>100</v>
      </c>
      <c r="G119" s="4" t="s">
        <v>1200</v>
      </c>
      <c r="H119" s="28"/>
      <c r="I119" s="27"/>
      <c r="J119" s="27"/>
      <c r="K119" s="27"/>
      <c r="L119" s="27"/>
      <c r="M119" s="24" t="e">
        <f t="shared" si="12"/>
        <v>#DIV/0!</v>
      </c>
      <c r="N119" s="27"/>
      <c r="O119" s="27"/>
      <c r="P119" s="27"/>
      <c r="Q119" s="27"/>
      <c r="R119" s="24" t="e">
        <f t="shared" si="13"/>
        <v>#DIV/0!</v>
      </c>
      <c r="S119" s="15"/>
    </row>
    <row r="120" spans="1:19" ht="15" x14ac:dyDescent="0.25">
      <c r="A120" s="38" t="s">
        <v>1201</v>
      </c>
      <c r="B120" s="38"/>
      <c r="C120" s="38"/>
      <c r="D120" s="38"/>
      <c r="E120" s="38"/>
      <c r="F120" s="38"/>
      <c r="G120" s="38"/>
      <c r="H120"/>
      <c r="I120"/>
      <c r="J120"/>
      <c r="K120"/>
      <c r="L120"/>
      <c r="M120"/>
      <c r="N120"/>
      <c r="O120"/>
      <c r="P120"/>
      <c r="Q120"/>
      <c r="R120"/>
      <c r="S120"/>
    </row>
    <row r="121" spans="1:19" ht="15" x14ac:dyDescent="0.25">
      <c r="A121" s="38"/>
      <c r="B121" s="38"/>
      <c r="C121" s="38"/>
      <c r="D121" s="38"/>
      <c r="E121" s="38"/>
      <c r="F121" s="38"/>
      <c r="G121" s="38"/>
      <c r="H121"/>
      <c r="I121"/>
      <c r="J121"/>
      <c r="K121"/>
      <c r="L121"/>
      <c r="M121"/>
      <c r="N121"/>
      <c r="O121"/>
      <c r="P121"/>
      <c r="Q121"/>
      <c r="R121"/>
      <c r="S121"/>
    </row>
    <row r="122" spans="1:19" ht="15" x14ac:dyDescent="0.25">
      <c r="A122" s="38"/>
      <c r="B122" s="38"/>
      <c r="C122" s="38"/>
      <c r="D122" s="38"/>
      <c r="E122" s="38"/>
      <c r="F122" s="38"/>
      <c r="G122" s="38"/>
      <c r="H122"/>
      <c r="I122"/>
      <c r="J122"/>
      <c r="K122"/>
      <c r="L122"/>
      <c r="M122"/>
      <c r="N122"/>
      <c r="O122"/>
      <c r="P122"/>
      <c r="Q122"/>
      <c r="R122"/>
      <c r="S122"/>
    </row>
    <row r="123" spans="1:19" x14ac:dyDescent="0.25">
      <c r="A123" s="38"/>
      <c r="B123" s="38"/>
      <c r="C123" s="38"/>
      <c r="D123" s="38"/>
      <c r="E123" s="38"/>
      <c r="F123" s="38"/>
      <c r="G123" s="38"/>
    </row>
    <row r="124" spans="1:19" x14ac:dyDescent="0.25">
      <c r="A124" s="38"/>
      <c r="B124" s="38"/>
      <c r="C124" s="38"/>
      <c r="D124" s="38"/>
      <c r="E124" s="38"/>
      <c r="F124" s="38"/>
      <c r="G124" s="38"/>
    </row>
    <row r="125" spans="1:19" x14ac:dyDescent="0.25">
      <c r="A125" s="7"/>
      <c r="B125" s="7"/>
      <c r="C125" s="7"/>
      <c r="D125" s="7"/>
      <c r="E125" s="7"/>
      <c r="F125" s="7"/>
      <c r="G125" s="7"/>
    </row>
    <row r="126" spans="1:19" x14ac:dyDescent="0.25">
      <c r="A126" s="113" t="s">
        <v>682</v>
      </c>
      <c r="B126" s="113"/>
      <c r="C126" s="113"/>
      <c r="D126" s="113"/>
      <c r="E126" s="113"/>
      <c r="F126" s="113"/>
      <c r="G126" s="114"/>
      <c r="H126" s="72">
        <v>2025</v>
      </c>
      <c r="I126" s="25" t="s">
        <v>1435</v>
      </c>
      <c r="J126" s="25" t="s">
        <v>1440</v>
      </c>
      <c r="K126" s="25" t="s">
        <v>1441</v>
      </c>
      <c r="L126" s="25" t="s">
        <v>1442</v>
      </c>
      <c r="M126" s="25" t="s">
        <v>1444</v>
      </c>
      <c r="N126" s="25" t="s">
        <v>1435</v>
      </c>
      <c r="O126" s="25" t="s">
        <v>1440</v>
      </c>
      <c r="P126" s="25" t="s">
        <v>1441</v>
      </c>
      <c r="Q126" s="25" t="s">
        <v>1442</v>
      </c>
      <c r="R126" s="25" t="s">
        <v>1445</v>
      </c>
      <c r="S126" s="54" t="s">
        <v>1447</v>
      </c>
    </row>
    <row r="127" spans="1:19" ht="15" customHeight="1" x14ac:dyDescent="0.25">
      <c r="A127" s="80" t="s">
        <v>41</v>
      </c>
      <c r="B127" s="80"/>
      <c r="C127" s="80"/>
      <c r="D127" s="80"/>
      <c r="E127" s="80"/>
      <c r="F127" s="80"/>
      <c r="G127" s="80"/>
      <c r="H127" s="72"/>
      <c r="I127" s="73" t="s">
        <v>1436</v>
      </c>
      <c r="J127" s="73" t="s">
        <v>1437</v>
      </c>
      <c r="K127" s="73" t="s">
        <v>1438</v>
      </c>
      <c r="L127" s="73" t="s">
        <v>1439</v>
      </c>
      <c r="M127" s="73" t="s">
        <v>55</v>
      </c>
      <c r="N127" s="73" t="s">
        <v>1436</v>
      </c>
      <c r="O127" s="73" t="s">
        <v>1437</v>
      </c>
      <c r="P127" s="73" t="s">
        <v>1438</v>
      </c>
      <c r="Q127" s="73" t="s">
        <v>1439</v>
      </c>
      <c r="R127" s="73" t="s">
        <v>55</v>
      </c>
      <c r="S127" s="54"/>
    </row>
    <row r="128" spans="1:19" x14ac:dyDescent="0.25">
      <c r="A128" s="82"/>
      <c r="B128" s="82"/>
      <c r="C128" s="82"/>
      <c r="D128" s="82"/>
      <c r="E128" s="82"/>
      <c r="F128" s="82"/>
      <c r="G128" s="82"/>
      <c r="H128" s="72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54"/>
    </row>
    <row r="129" spans="1:20" x14ac:dyDescent="0.25">
      <c r="A129" s="10" t="s">
        <v>1</v>
      </c>
      <c r="B129" s="10" t="s">
        <v>1428</v>
      </c>
      <c r="C129" s="23" t="s">
        <v>1446</v>
      </c>
      <c r="D129" s="10" t="s">
        <v>2</v>
      </c>
      <c r="E129" s="10" t="s">
        <v>3</v>
      </c>
      <c r="F129" s="10" t="s">
        <v>4</v>
      </c>
      <c r="G129" s="10" t="s">
        <v>5</v>
      </c>
      <c r="H129" s="23" t="s">
        <v>1433</v>
      </c>
      <c r="I129" s="23" t="s">
        <v>1434</v>
      </c>
      <c r="J129" s="23" t="s">
        <v>1434</v>
      </c>
      <c r="K129" s="23" t="s">
        <v>1434</v>
      </c>
      <c r="L129" s="23" t="s">
        <v>1434</v>
      </c>
      <c r="M129" s="23" t="s">
        <v>1443</v>
      </c>
      <c r="N129" s="23" t="s">
        <v>1448</v>
      </c>
      <c r="O129" s="23" t="s">
        <v>1448</v>
      </c>
      <c r="P129" s="23" t="s">
        <v>1448</v>
      </c>
      <c r="Q129" s="23" t="s">
        <v>1448</v>
      </c>
      <c r="R129" s="23" t="s">
        <v>1449</v>
      </c>
      <c r="S129" s="54"/>
    </row>
    <row r="130" spans="1:20" ht="38.25" x14ac:dyDescent="0.25">
      <c r="A130" s="84" t="s">
        <v>1202</v>
      </c>
      <c r="B130" s="28"/>
      <c r="C130" s="28"/>
      <c r="D130" s="12" t="s">
        <v>1203</v>
      </c>
      <c r="E130" s="12" t="s">
        <v>1204</v>
      </c>
      <c r="F130" s="12" t="s">
        <v>1205</v>
      </c>
      <c r="G130" s="3" t="s">
        <v>1206</v>
      </c>
      <c r="H130" s="28"/>
      <c r="I130" s="27"/>
      <c r="J130" s="27"/>
      <c r="K130" s="27"/>
      <c r="L130" s="27"/>
      <c r="M130" s="24" t="e">
        <f>IF(SUM(I130:L130)=H130,SUM(I130:L130)*100%/H130,"Dato erroneo no cumple con la meta Absoluta (establecida)")</f>
        <v>#DIV/0!</v>
      </c>
      <c r="N130" s="27"/>
      <c r="O130" s="27"/>
      <c r="P130" s="27"/>
      <c r="Q130" s="27"/>
      <c r="R130" s="24" t="e">
        <f>SUM(N130:Q130)*100%/H130</f>
        <v>#DIV/0!</v>
      </c>
      <c r="S130" s="15"/>
    </row>
    <row r="131" spans="1:20" ht="38.25" x14ac:dyDescent="0.25">
      <c r="A131" s="85"/>
      <c r="B131" s="28"/>
      <c r="C131" s="28"/>
      <c r="D131" s="12" t="s">
        <v>1207</v>
      </c>
      <c r="E131" s="12" t="s">
        <v>1208</v>
      </c>
      <c r="F131" s="12" t="s">
        <v>1209</v>
      </c>
      <c r="G131" s="3" t="s">
        <v>1210</v>
      </c>
      <c r="H131" s="28"/>
      <c r="I131" s="27"/>
      <c r="J131" s="27"/>
      <c r="K131" s="27"/>
      <c r="L131" s="27"/>
      <c r="M131" s="24" t="e">
        <f t="shared" ref="M131:M136" si="14">IF(SUM(I131:L131)=H131,SUM(I131:L131)*100%/H131,"Dato erroneo no cumple con la meta Absoluta (establecida)")</f>
        <v>#DIV/0!</v>
      </c>
      <c r="N131" s="27"/>
      <c r="O131" s="27"/>
      <c r="P131" s="27"/>
      <c r="Q131" s="27"/>
      <c r="R131" s="24" t="e">
        <f t="shared" ref="R131:R136" si="15">SUM(N131:Q131)*100%/H131</f>
        <v>#DIV/0!</v>
      </c>
      <c r="S131" s="15"/>
    </row>
    <row r="132" spans="1:20" ht="51" x14ac:dyDescent="0.25">
      <c r="A132" s="85"/>
      <c r="B132" s="28"/>
      <c r="C132" s="28"/>
      <c r="D132" s="12" t="s">
        <v>1211</v>
      </c>
      <c r="E132" s="12" t="s">
        <v>1212</v>
      </c>
      <c r="F132" s="12" t="s">
        <v>1213</v>
      </c>
      <c r="G132" s="3" t="s">
        <v>1214</v>
      </c>
      <c r="H132" s="28"/>
      <c r="I132" s="27"/>
      <c r="J132" s="27"/>
      <c r="K132" s="27"/>
      <c r="L132" s="27"/>
      <c r="M132" s="24" t="e">
        <f t="shared" si="14"/>
        <v>#DIV/0!</v>
      </c>
      <c r="N132" s="27"/>
      <c r="O132" s="27"/>
      <c r="P132" s="27"/>
      <c r="Q132" s="27"/>
      <c r="R132" s="24" t="e">
        <f t="shared" si="15"/>
        <v>#DIV/0!</v>
      </c>
      <c r="S132" s="15"/>
    </row>
    <row r="133" spans="1:20" ht="38.25" x14ac:dyDescent="0.25">
      <c r="A133" s="85"/>
      <c r="B133" s="28"/>
      <c r="C133" s="28"/>
      <c r="D133" s="12" t="s">
        <v>1215</v>
      </c>
      <c r="E133" s="12" t="s">
        <v>1216</v>
      </c>
      <c r="F133" s="12" t="s">
        <v>1217</v>
      </c>
      <c r="G133" s="3" t="s">
        <v>1218</v>
      </c>
      <c r="H133" s="28"/>
      <c r="I133" s="27"/>
      <c r="J133" s="27"/>
      <c r="K133" s="27"/>
      <c r="L133" s="27"/>
      <c r="M133" s="24" t="e">
        <f t="shared" si="14"/>
        <v>#DIV/0!</v>
      </c>
      <c r="N133" s="27"/>
      <c r="O133" s="27"/>
      <c r="P133" s="27"/>
      <c r="Q133" s="27"/>
      <c r="R133" s="24" t="e">
        <f t="shared" si="15"/>
        <v>#DIV/0!</v>
      </c>
      <c r="S133" s="15"/>
    </row>
    <row r="134" spans="1:20" ht="25.5" x14ac:dyDescent="0.25">
      <c r="A134" s="85"/>
      <c r="B134" s="28"/>
      <c r="C134" s="28"/>
      <c r="D134" s="12" t="s">
        <v>1219</v>
      </c>
      <c r="E134" s="12" t="s">
        <v>1220</v>
      </c>
      <c r="F134" s="12" t="s">
        <v>1221</v>
      </c>
      <c r="G134" s="3" t="s">
        <v>1222</v>
      </c>
      <c r="H134" s="28"/>
      <c r="I134" s="27"/>
      <c r="J134" s="27"/>
      <c r="K134" s="27"/>
      <c r="L134" s="27"/>
      <c r="M134" s="24" t="e">
        <f t="shared" si="14"/>
        <v>#DIV/0!</v>
      </c>
      <c r="N134" s="27"/>
      <c r="O134" s="27"/>
      <c r="P134" s="27"/>
      <c r="Q134" s="27"/>
      <c r="R134" s="24" t="e">
        <f t="shared" si="15"/>
        <v>#DIV/0!</v>
      </c>
      <c r="S134" s="15"/>
    </row>
    <row r="135" spans="1:20" ht="25.5" x14ac:dyDescent="0.25">
      <c r="A135" s="85"/>
      <c r="B135" s="28"/>
      <c r="C135" s="28"/>
      <c r="D135" s="12" t="s">
        <v>1223</v>
      </c>
      <c r="E135" s="17"/>
      <c r="F135" s="12" t="s">
        <v>1224</v>
      </c>
      <c r="G135" s="3" t="s">
        <v>1225</v>
      </c>
      <c r="H135" s="28"/>
      <c r="I135" s="27"/>
      <c r="J135" s="27"/>
      <c r="K135" s="27"/>
      <c r="L135" s="27"/>
      <c r="M135" s="24" t="e">
        <f t="shared" si="14"/>
        <v>#DIV/0!</v>
      </c>
      <c r="N135" s="27"/>
      <c r="O135" s="27"/>
      <c r="P135" s="27"/>
      <c r="Q135" s="27"/>
      <c r="R135" s="24" t="e">
        <f t="shared" si="15"/>
        <v>#DIV/0!</v>
      </c>
      <c r="S135" s="15"/>
    </row>
    <row r="136" spans="1:20" ht="38.25" x14ac:dyDescent="0.25">
      <c r="A136" s="86"/>
      <c r="B136" s="28"/>
      <c r="C136" s="28"/>
      <c r="D136" s="12" t="s">
        <v>1226</v>
      </c>
      <c r="E136" s="12" t="s">
        <v>1227</v>
      </c>
      <c r="F136" s="12" t="s">
        <v>1228</v>
      </c>
      <c r="G136" s="3" t="s">
        <v>116</v>
      </c>
      <c r="H136" s="28"/>
      <c r="I136" s="27"/>
      <c r="J136" s="27"/>
      <c r="K136" s="27"/>
      <c r="L136" s="27"/>
      <c r="M136" s="24" t="e">
        <f t="shared" si="14"/>
        <v>#DIV/0!</v>
      </c>
      <c r="N136" s="27"/>
      <c r="O136" s="27"/>
      <c r="P136" s="27"/>
      <c r="Q136" s="27"/>
      <c r="R136" s="24" t="e">
        <f t="shared" si="15"/>
        <v>#DIV/0!</v>
      </c>
      <c r="S136" s="15"/>
    </row>
    <row r="137" spans="1:20" ht="15" x14ac:dyDescent="0.25">
      <c r="A137" s="37" t="s">
        <v>44</v>
      </c>
      <c r="B137" s="37"/>
      <c r="C137" s="37"/>
      <c r="D137" s="37"/>
      <c r="E137" s="37"/>
      <c r="F137" s="37"/>
      <c r="G137" s="37"/>
      <c r="H137"/>
      <c r="I137"/>
      <c r="J137"/>
      <c r="K137"/>
      <c r="L137"/>
      <c r="M137"/>
      <c r="N137"/>
      <c r="O137"/>
      <c r="P137"/>
      <c r="Q137"/>
      <c r="R137"/>
      <c r="S137"/>
      <c r="T137"/>
    </row>
    <row r="138" spans="1:20" ht="15" x14ac:dyDescent="0.25">
      <c r="A138" s="36"/>
      <c r="B138" s="36"/>
      <c r="C138" s="36"/>
      <c r="D138" s="36"/>
      <c r="E138" s="36"/>
      <c r="F138" s="36"/>
      <c r="G138" s="36"/>
      <c r="H138"/>
      <c r="I138"/>
      <c r="J138"/>
      <c r="K138"/>
      <c r="L138"/>
      <c r="M138"/>
      <c r="N138"/>
      <c r="O138"/>
      <c r="P138"/>
      <c r="Q138"/>
      <c r="R138"/>
      <c r="S138"/>
      <c r="T138"/>
    </row>
    <row r="139" spans="1:20" ht="15" x14ac:dyDescent="0.25">
      <c r="A139" s="36"/>
      <c r="B139" s="36"/>
      <c r="C139" s="36"/>
      <c r="D139" s="36"/>
      <c r="E139" s="36"/>
      <c r="F139" s="36"/>
      <c r="G139" s="36"/>
      <c r="H139"/>
      <c r="I139"/>
      <c r="J139"/>
      <c r="K139"/>
      <c r="L139"/>
      <c r="M139"/>
      <c r="N139"/>
      <c r="O139"/>
      <c r="P139"/>
      <c r="Q139"/>
      <c r="R139"/>
      <c r="S139"/>
      <c r="T139"/>
    </row>
    <row r="140" spans="1:20" ht="15" x14ac:dyDescent="0.25">
      <c r="A140" s="36"/>
      <c r="B140" s="36"/>
      <c r="C140" s="36"/>
      <c r="D140" s="36"/>
      <c r="E140" s="36"/>
      <c r="F140" s="36"/>
      <c r="G140" s="36"/>
      <c r="H140"/>
      <c r="I140"/>
      <c r="J140"/>
      <c r="K140"/>
      <c r="L140"/>
      <c r="M140"/>
      <c r="N140"/>
      <c r="O140"/>
      <c r="P140"/>
      <c r="Q140"/>
      <c r="R140"/>
      <c r="S140"/>
      <c r="T140"/>
    </row>
    <row r="141" spans="1:20" x14ac:dyDescent="0.25">
      <c r="A141" s="36"/>
      <c r="B141" s="36"/>
      <c r="C141" s="36"/>
      <c r="D141" s="36"/>
      <c r="E141" s="36"/>
      <c r="F141" s="36"/>
      <c r="G141" s="36"/>
    </row>
    <row r="142" spans="1:20" x14ac:dyDescent="0.25">
      <c r="A142" s="19"/>
      <c r="B142" s="19"/>
      <c r="C142" s="19"/>
      <c r="D142" s="19"/>
      <c r="E142" s="19"/>
      <c r="F142" s="19"/>
      <c r="G142" s="19"/>
    </row>
    <row r="143" spans="1:20" x14ac:dyDescent="0.25">
      <c r="A143" s="113" t="s">
        <v>682</v>
      </c>
      <c r="B143" s="113"/>
      <c r="C143" s="113"/>
      <c r="D143" s="113"/>
      <c r="E143" s="113"/>
      <c r="F143" s="113"/>
      <c r="G143" s="114"/>
      <c r="H143" s="72">
        <v>2025</v>
      </c>
      <c r="I143" s="25" t="s">
        <v>1435</v>
      </c>
      <c r="J143" s="25" t="s">
        <v>1440</v>
      </c>
      <c r="K143" s="25" t="s">
        <v>1441</v>
      </c>
      <c r="L143" s="25" t="s">
        <v>1442</v>
      </c>
      <c r="M143" s="25" t="s">
        <v>1444</v>
      </c>
      <c r="N143" s="25" t="s">
        <v>1435</v>
      </c>
      <c r="O143" s="25" t="s">
        <v>1440</v>
      </c>
      <c r="P143" s="25" t="s">
        <v>1441</v>
      </c>
      <c r="Q143" s="25" t="s">
        <v>1442</v>
      </c>
      <c r="R143" s="25" t="s">
        <v>1445</v>
      </c>
      <c r="S143" s="54" t="s">
        <v>1447</v>
      </c>
    </row>
    <row r="144" spans="1:20" ht="15" customHeight="1" x14ac:dyDescent="0.25">
      <c r="A144" s="80" t="s">
        <v>42</v>
      </c>
      <c r="B144" s="80"/>
      <c r="C144" s="80"/>
      <c r="D144" s="80"/>
      <c r="E144" s="80"/>
      <c r="F144" s="80"/>
      <c r="G144" s="80"/>
      <c r="H144" s="72"/>
      <c r="I144" s="73" t="s">
        <v>1436</v>
      </c>
      <c r="J144" s="73" t="s">
        <v>1437</v>
      </c>
      <c r="K144" s="73" t="s">
        <v>1438</v>
      </c>
      <c r="L144" s="73" t="s">
        <v>1439</v>
      </c>
      <c r="M144" s="73" t="s">
        <v>55</v>
      </c>
      <c r="N144" s="73" t="s">
        <v>1436</v>
      </c>
      <c r="O144" s="73" t="s">
        <v>1437</v>
      </c>
      <c r="P144" s="73" t="s">
        <v>1438</v>
      </c>
      <c r="Q144" s="73" t="s">
        <v>1439</v>
      </c>
      <c r="R144" s="73" t="s">
        <v>55</v>
      </c>
      <c r="S144" s="54"/>
    </row>
    <row r="145" spans="1:19" x14ac:dyDescent="0.25">
      <c r="A145" s="82"/>
      <c r="B145" s="82"/>
      <c r="C145" s="82"/>
      <c r="D145" s="82"/>
      <c r="E145" s="82"/>
      <c r="F145" s="82"/>
      <c r="G145" s="82"/>
      <c r="H145" s="72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54"/>
    </row>
    <row r="146" spans="1:19" x14ac:dyDescent="0.25">
      <c r="A146" s="10" t="s">
        <v>1</v>
      </c>
      <c r="B146" s="10" t="s">
        <v>1428</v>
      </c>
      <c r="C146" s="23" t="s">
        <v>1446</v>
      </c>
      <c r="D146" s="10" t="s">
        <v>2</v>
      </c>
      <c r="E146" s="10" t="s">
        <v>3</v>
      </c>
      <c r="F146" s="10" t="s">
        <v>4</v>
      </c>
      <c r="G146" s="10" t="s">
        <v>5</v>
      </c>
      <c r="H146" s="23" t="s">
        <v>1433</v>
      </c>
      <c r="I146" s="23" t="s">
        <v>1434</v>
      </c>
      <c r="J146" s="23" t="s">
        <v>1434</v>
      </c>
      <c r="K146" s="23" t="s">
        <v>1434</v>
      </c>
      <c r="L146" s="23" t="s">
        <v>1434</v>
      </c>
      <c r="M146" s="23" t="s">
        <v>1443</v>
      </c>
      <c r="N146" s="23" t="s">
        <v>1448</v>
      </c>
      <c r="O146" s="23" t="s">
        <v>1448</v>
      </c>
      <c r="P146" s="23" t="s">
        <v>1448</v>
      </c>
      <c r="Q146" s="23" t="s">
        <v>1448</v>
      </c>
      <c r="R146" s="23" t="s">
        <v>1449</v>
      </c>
      <c r="S146" s="54"/>
    </row>
    <row r="147" spans="1:19" ht="38.25" customHeight="1" x14ac:dyDescent="0.25">
      <c r="A147" s="66" t="s">
        <v>1229</v>
      </c>
      <c r="B147" s="28"/>
      <c r="C147" s="28"/>
      <c r="D147" s="4" t="s">
        <v>1230</v>
      </c>
      <c r="E147" s="4" t="s">
        <v>1231</v>
      </c>
      <c r="F147" s="4" t="s">
        <v>1232</v>
      </c>
      <c r="G147" s="4" t="s">
        <v>1233</v>
      </c>
      <c r="H147" s="28"/>
      <c r="I147" s="27"/>
      <c r="J147" s="27"/>
      <c r="K147" s="27"/>
      <c r="L147" s="27"/>
      <c r="M147" s="24" t="e">
        <f>IF(SUM(I147:L147)=H147,SUM(I147:L147)*100%/H147,"Dato erroneo no cumple con la meta Absoluta (establecida)")</f>
        <v>#DIV/0!</v>
      </c>
      <c r="N147" s="27"/>
      <c r="O147" s="27"/>
      <c r="P147" s="27"/>
      <c r="Q147" s="27"/>
      <c r="R147" s="24" t="e">
        <f>SUM(N147:Q147)*100%/H147</f>
        <v>#DIV/0!</v>
      </c>
      <c r="S147" s="15"/>
    </row>
    <row r="148" spans="1:19" ht="38.25" x14ac:dyDescent="0.25">
      <c r="A148" s="67"/>
      <c r="B148" s="28"/>
      <c r="C148" s="28"/>
      <c r="D148" s="4" t="s">
        <v>1234</v>
      </c>
      <c r="E148" s="4" t="s">
        <v>1235</v>
      </c>
      <c r="F148" s="4" t="s">
        <v>1236</v>
      </c>
      <c r="G148" s="4" t="s">
        <v>1237</v>
      </c>
      <c r="H148" s="28"/>
      <c r="I148" s="27"/>
      <c r="J148" s="27"/>
      <c r="K148" s="27"/>
      <c r="L148" s="27"/>
      <c r="M148" s="24" t="e">
        <f t="shared" ref="M148:M154" si="16">IF(SUM(I148:L148)=H148,SUM(I148:L148)*100%/H148,"Dato erroneo no cumple con la meta Absoluta (establecida)")</f>
        <v>#DIV/0!</v>
      </c>
      <c r="N148" s="27"/>
      <c r="O148" s="27"/>
      <c r="P148" s="27"/>
      <c r="Q148" s="27"/>
      <c r="R148" s="24" t="e">
        <f t="shared" ref="R148:R154" si="17">SUM(N148:Q148)*100%/H148</f>
        <v>#DIV/0!</v>
      </c>
      <c r="S148" s="15"/>
    </row>
    <row r="149" spans="1:19" ht="63.75" x14ac:dyDescent="0.25">
      <c r="A149" s="67"/>
      <c r="B149" s="28"/>
      <c r="C149" s="28"/>
      <c r="D149" s="4" t="s">
        <v>1238</v>
      </c>
      <c r="E149" s="4" t="s">
        <v>1239</v>
      </c>
      <c r="F149" s="4" t="s">
        <v>1240</v>
      </c>
      <c r="G149" s="4" t="s">
        <v>1241</v>
      </c>
      <c r="H149" s="28"/>
      <c r="I149" s="27"/>
      <c r="J149" s="27"/>
      <c r="K149" s="27"/>
      <c r="L149" s="27"/>
      <c r="M149" s="24" t="e">
        <f t="shared" si="16"/>
        <v>#DIV/0!</v>
      </c>
      <c r="N149" s="27"/>
      <c r="O149" s="27"/>
      <c r="P149" s="27"/>
      <c r="Q149" s="27"/>
      <c r="R149" s="24" t="e">
        <f t="shared" si="17"/>
        <v>#DIV/0!</v>
      </c>
      <c r="S149" s="15"/>
    </row>
    <row r="150" spans="1:19" ht="38.25" x14ac:dyDescent="0.25">
      <c r="A150" s="67"/>
      <c r="B150" s="28"/>
      <c r="C150" s="28"/>
      <c r="D150" s="4" t="s">
        <v>1242</v>
      </c>
      <c r="E150" s="4" t="s">
        <v>1243</v>
      </c>
      <c r="F150" s="4" t="s">
        <v>1244</v>
      </c>
      <c r="G150" s="4" t="s">
        <v>1245</v>
      </c>
      <c r="H150" s="28"/>
      <c r="I150" s="27"/>
      <c r="J150" s="27"/>
      <c r="K150" s="27"/>
      <c r="L150" s="27"/>
      <c r="M150" s="24" t="e">
        <f t="shared" si="16"/>
        <v>#DIV/0!</v>
      </c>
      <c r="N150" s="27"/>
      <c r="O150" s="27"/>
      <c r="P150" s="27"/>
      <c r="Q150" s="27"/>
      <c r="R150" s="24" t="e">
        <f t="shared" si="17"/>
        <v>#DIV/0!</v>
      </c>
      <c r="S150" s="15"/>
    </row>
    <row r="151" spans="1:19" ht="51" x14ac:dyDescent="0.25">
      <c r="A151" s="67"/>
      <c r="B151" s="28"/>
      <c r="C151" s="28"/>
      <c r="D151" s="4" t="s">
        <v>1246</v>
      </c>
      <c r="E151" s="4" t="s">
        <v>1247</v>
      </c>
      <c r="F151" s="4" t="s">
        <v>1248</v>
      </c>
      <c r="G151" s="4" t="s">
        <v>1249</v>
      </c>
      <c r="H151" s="28"/>
      <c r="I151" s="27"/>
      <c r="J151" s="27"/>
      <c r="K151" s="27"/>
      <c r="L151" s="27"/>
      <c r="M151" s="24" t="e">
        <f t="shared" si="16"/>
        <v>#DIV/0!</v>
      </c>
      <c r="N151" s="27"/>
      <c r="O151" s="27"/>
      <c r="P151" s="27"/>
      <c r="Q151" s="27"/>
      <c r="R151" s="24" t="e">
        <f t="shared" si="17"/>
        <v>#DIV/0!</v>
      </c>
      <c r="S151" s="15"/>
    </row>
    <row r="152" spans="1:19" ht="25.5" x14ac:dyDescent="0.25">
      <c r="A152" s="67"/>
      <c r="B152" s="28"/>
      <c r="C152" s="28"/>
      <c r="D152" s="4" t="s">
        <v>1250</v>
      </c>
      <c r="E152" s="4" t="s">
        <v>1251</v>
      </c>
      <c r="F152" s="4" t="s">
        <v>1252</v>
      </c>
      <c r="G152" s="4" t="s">
        <v>1253</v>
      </c>
      <c r="H152" s="28"/>
      <c r="I152" s="27"/>
      <c r="J152" s="27"/>
      <c r="K152" s="27"/>
      <c r="L152" s="27"/>
      <c r="M152" s="24" t="e">
        <f t="shared" si="16"/>
        <v>#DIV/0!</v>
      </c>
      <c r="N152" s="27"/>
      <c r="O152" s="27"/>
      <c r="P152" s="27"/>
      <c r="Q152" s="27"/>
      <c r="R152" s="24" t="e">
        <f t="shared" si="17"/>
        <v>#DIV/0!</v>
      </c>
      <c r="S152" s="15"/>
    </row>
    <row r="153" spans="1:19" ht="51" x14ac:dyDescent="0.25">
      <c r="A153" s="67"/>
      <c r="B153" s="28"/>
      <c r="C153" s="28"/>
      <c r="D153" s="4" t="s">
        <v>1254</v>
      </c>
      <c r="E153" s="4" t="s">
        <v>117</v>
      </c>
      <c r="F153" s="4" t="s">
        <v>118</v>
      </c>
      <c r="G153" s="4" t="s">
        <v>119</v>
      </c>
      <c r="H153" s="28"/>
      <c r="I153" s="27"/>
      <c r="J153" s="27"/>
      <c r="K153" s="27"/>
      <c r="L153" s="27"/>
      <c r="M153" s="24" t="e">
        <f t="shared" si="16"/>
        <v>#DIV/0!</v>
      </c>
      <c r="N153" s="27"/>
      <c r="O153" s="27"/>
      <c r="P153" s="27"/>
      <c r="Q153" s="27"/>
      <c r="R153" s="24" t="e">
        <f t="shared" si="17"/>
        <v>#DIV/0!</v>
      </c>
      <c r="S153" s="15"/>
    </row>
    <row r="154" spans="1:19" ht="38.25" x14ac:dyDescent="0.25">
      <c r="A154" s="68"/>
      <c r="B154" s="28"/>
      <c r="C154" s="28"/>
      <c r="D154" s="4" t="s">
        <v>1255</v>
      </c>
      <c r="E154" s="4" t="s">
        <v>1256</v>
      </c>
      <c r="F154" s="4" t="s">
        <v>1257</v>
      </c>
      <c r="G154" s="4" t="s">
        <v>1258</v>
      </c>
      <c r="H154" s="28"/>
      <c r="I154" s="27"/>
      <c r="J154" s="27"/>
      <c r="K154" s="27"/>
      <c r="L154" s="27"/>
      <c r="M154" s="24" t="e">
        <f t="shared" si="16"/>
        <v>#DIV/0!</v>
      </c>
      <c r="N154" s="27"/>
      <c r="O154" s="27"/>
      <c r="P154" s="27"/>
      <c r="Q154" s="27"/>
      <c r="R154" s="24" t="e">
        <f t="shared" si="17"/>
        <v>#DIV/0!</v>
      </c>
      <c r="S154" s="15"/>
    </row>
    <row r="155" spans="1:19" ht="15" x14ac:dyDescent="0.25">
      <c r="A155" s="36" t="s">
        <v>44</v>
      </c>
      <c r="B155" s="36"/>
      <c r="C155" s="36"/>
      <c r="D155" s="36"/>
      <c r="E155" s="36"/>
      <c r="F155" s="36"/>
      <c r="G155" s="36"/>
      <c r="H155"/>
      <c r="I155"/>
      <c r="J155"/>
      <c r="K155"/>
      <c r="L155"/>
      <c r="M155"/>
      <c r="N155"/>
      <c r="O155"/>
      <c r="P155"/>
      <c r="Q155"/>
      <c r="R155"/>
    </row>
    <row r="156" spans="1:19" ht="15" x14ac:dyDescent="0.25">
      <c r="A156" s="36"/>
      <c r="B156" s="36"/>
      <c r="C156" s="36"/>
      <c r="D156" s="36"/>
      <c r="E156" s="36"/>
      <c r="F156" s="36"/>
      <c r="G156" s="36"/>
      <c r="H156"/>
      <c r="I156"/>
      <c r="J156"/>
      <c r="K156"/>
      <c r="L156"/>
      <c r="M156"/>
      <c r="N156"/>
      <c r="O156"/>
      <c r="P156"/>
      <c r="Q156"/>
      <c r="R156"/>
    </row>
    <row r="157" spans="1:19" ht="15" x14ac:dyDescent="0.25">
      <c r="A157" s="36"/>
      <c r="B157" s="36"/>
      <c r="C157" s="36"/>
      <c r="D157" s="36"/>
      <c r="E157" s="36"/>
      <c r="F157" s="36"/>
      <c r="G157" s="36"/>
      <c r="H157"/>
      <c r="I157"/>
      <c r="J157"/>
      <c r="K157"/>
      <c r="L157"/>
      <c r="M157"/>
      <c r="N157"/>
      <c r="O157"/>
      <c r="P157"/>
      <c r="Q157"/>
      <c r="R157"/>
    </row>
    <row r="158" spans="1:19" ht="15" x14ac:dyDescent="0.25">
      <c r="A158" s="36"/>
      <c r="B158" s="36"/>
      <c r="C158" s="36"/>
      <c r="D158" s="36"/>
      <c r="E158" s="36"/>
      <c r="F158" s="36"/>
      <c r="G158" s="36"/>
      <c r="H158"/>
      <c r="I158"/>
      <c r="J158"/>
      <c r="K158"/>
      <c r="L158"/>
      <c r="M158"/>
      <c r="N158"/>
      <c r="O158"/>
      <c r="P158"/>
      <c r="Q158"/>
      <c r="R158"/>
    </row>
    <row r="159" spans="1:19" x14ac:dyDescent="0.25">
      <c r="A159" s="36"/>
      <c r="B159" s="36"/>
      <c r="C159" s="36"/>
      <c r="D159" s="36"/>
      <c r="E159" s="36"/>
      <c r="F159" s="36"/>
      <c r="G159" s="36"/>
    </row>
    <row r="160" spans="1:19" x14ac:dyDescent="0.25">
      <c r="A160" s="8"/>
      <c r="B160" s="8"/>
      <c r="C160" s="8"/>
      <c r="D160" s="18"/>
      <c r="E160" s="18"/>
      <c r="F160" s="18"/>
      <c r="G160" s="18"/>
    </row>
    <row r="161" spans="1:21" x14ac:dyDescent="0.25">
      <c r="A161" s="113" t="s">
        <v>682</v>
      </c>
      <c r="B161" s="113"/>
      <c r="C161" s="113"/>
      <c r="D161" s="113"/>
      <c r="E161" s="113"/>
      <c r="F161" s="113"/>
      <c r="G161" s="114"/>
      <c r="H161" s="72">
        <v>2025</v>
      </c>
      <c r="I161" s="25" t="s">
        <v>1435</v>
      </c>
      <c r="J161" s="25" t="s">
        <v>1440</v>
      </c>
      <c r="K161" s="25" t="s">
        <v>1441</v>
      </c>
      <c r="L161" s="25" t="s">
        <v>1442</v>
      </c>
      <c r="M161" s="25" t="s">
        <v>1444</v>
      </c>
      <c r="N161" s="25" t="s">
        <v>1435</v>
      </c>
      <c r="O161" s="25" t="s">
        <v>1440</v>
      </c>
      <c r="P161" s="25" t="s">
        <v>1441</v>
      </c>
      <c r="Q161" s="25" t="s">
        <v>1442</v>
      </c>
      <c r="R161" s="25" t="s">
        <v>1445</v>
      </c>
      <c r="S161" s="54" t="s">
        <v>1447</v>
      </c>
    </row>
    <row r="162" spans="1:21" ht="15" customHeight="1" x14ac:dyDescent="0.25">
      <c r="A162" s="115" t="s">
        <v>43</v>
      </c>
      <c r="B162" s="76"/>
      <c r="C162" s="76"/>
      <c r="D162" s="76"/>
      <c r="E162" s="76"/>
      <c r="F162" s="76"/>
      <c r="G162" s="77"/>
      <c r="H162" s="72"/>
      <c r="I162" s="73" t="s">
        <v>1436</v>
      </c>
      <c r="J162" s="73" t="s">
        <v>1437</v>
      </c>
      <c r="K162" s="73" t="s">
        <v>1438</v>
      </c>
      <c r="L162" s="73" t="s">
        <v>1439</v>
      </c>
      <c r="M162" s="73" t="s">
        <v>55</v>
      </c>
      <c r="N162" s="73" t="s">
        <v>1436</v>
      </c>
      <c r="O162" s="73" t="s">
        <v>1437</v>
      </c>
      <c r="P162" s="73" t="s">
        <v>1438</v>
      </c>
      <c r="Q162" s="73" t="s">
        <v>1439</v>
      </c>
      <c r="R162" s="73" t="s">
        <v>55</v>
      </c>
      <c r="S162" s="54"/>
    </row>
    <row r="163" spans="1:21" x14ac:dyDescent="0.25">
      <c r="A163" s="116"/>
      <c r="B163" s="117"/>
      <c r="C163" s="117"/>
      <c r="D163" s="117"/>
      <c r="E163" s="117"/>
      <c r="F163" s="117"/>
      <c r="G163" s="118"/>
      <c r="H163" s="72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54"/>
    </row>
    <row r="164" spans="1:21" x14ac:dyDescent="0.25">
      <c r="A164" s="10" t="s">
        <v>1</v>
      </c>
      <c r="B164" s="10" t="s">
        <v>1428</v>
      </c>
      <c r="C164" s="23" t="s">
        <v>1446</v>
      </c>
      <c r="D164" s="10" t="s">
        <v>2</v>
      </c>
      <c r="E164" s="10" t="s">
        <v>3</v>
      </c>
      <c r="F164" s="10" t="s">
        <v>4</v>
      </c>
      <c r="G164" s="10" t="s">
        <v>5</v>
      </c>
      <c r="H164" s="23" t="s">
        <v>1433</v>
      </c>
      <c r="I164" s="23" t="s">
        <v>1434</v>
      </c>
      <c r="J164" s="23" t="s">
        <v>1434</v>
      </c>
      <c r="K164" s="23" t="s">
        <v>1434</v>
      </c>
      <c r="L164" s="23" t="s">
        <v>1434</v>
      </c>
      <c r="M164" s="23" t="s">
        <v>1443</v>
      </c>
      <c r="N164" s="23" t="s">
        <v>1448</v>
      </c>
      <c r="O164" s="23" t="s">
        <v>1448</v>
      </c>
      <c r="P164" s="23" t="s">
        <v>1448</v>
      </c>
      <c r="Q164" s="23" t="s">
        <v>1448</v>
      </c>
      <c r="R164" s="23" t="s">
        <v>1449</v>
      </c>
      <c r="S164" s="54"/>
    </row>
    <row r="165" spans="1:21" ht="25.5" customHeight="1" x14ac:dyDescent="0.25">
      <c r="A165" s="66" t="s">
        <v>1259</v>
      </c>
      <c r="B165" s="28"/>
      <c r="C165" s="28"/>
      <c r="D165" s="4" t="s">
        <v>1260</v>
      </c>
      <c r="E165" s="4" t="s">
        <v>1261</v>
      </c>
      <c r="F165" s="4" t="s">
        <v>1262</v>
      </c>
      <c r="G165" s="4" t="s">
        <v>1263</v>
      </c>
      <c r="H165" s="28"/>
      <c r="I165" s="27"/>
      <c r="J165" s="27"/>
      <c r="K165" s="27"/>
      <c r="L165" s="27"/>
      <c r="M165" s="24" t="e">
        <f>IF(SUM(I165:L165)=H165,SUM(I165:L165)*100%/H165,"Dato erroneo no cumple con la meta Absoluta (establecida)")</f>
        <v>#DIV/0!</v>
      </c>
      <c r="N165" s="27"/>
      <c r="O165" s="27"/>
      <c r="P165" s="27"/>
      <c r="Q165" s="27"/>
      <c r="R165" s="24" t="e">
        <f>SUM(N165:Q165)*100%/H165</f>
        <v>#DIV/0!</v>
      </c>
      <c r="S165" s="15"/>
    </row>
    <row r="166" spans="1:21" ht="51" x14ac:dyDescent="0.25">
      <c r="A166" s="67"/>
      <c r="B166" s="28"/>
      <c r="C166" s="28"/>
      <c r="D166" s="4" t="s">
        <v>1264</v>
      </c>
      <c r="E166" s="4" t="s">
        <v>1265</v>
      </c>
      <c r="F166" s="4" t="s">
        <v>1266</v>
      </c>
      <c r="G166" s="4" t="s">
        <v>1267</v>
      </c>
      <c r="H166" s="28"/>
      <c r="I166" s="27"/>
      <c r="J166" s="27"/>
      <c r="K166" s="27"/>
      <c r="L166" s="27"/>
      <c r="M166" s="24" t="e">
        <f t="shared" ref="M166:M168" si="18">IF(SUM(I166:L166)=H166,SUM(I166:L166)*100%/H166,"Dato erroneo no cumple con la meta Absoluta (establecida)")</f>
        <v>#DIV/0!</v>
      </c>
      <c r="N166" s="27"/>
      <c r="O166" s="27"/>
      <c r="P166" s="27"/>
      <c r="Q166" s="27"/>
      <c r="R166" s="24" t="e">
        <f t="shared" ref="R166:R168" si="19">SUM(N166:Q166)*100%/H166</f>
        <v>#DIV/0!</v>
      </c>
      <c r="S166" s="15"/>
    </row>
    <row r="167" spans="1:21" ht="51" x14ac:dyDescent="0.25">
      <c r="A167" s="67"/>
      <c r="B167" s="28"/>
      <c r="C167" s="28"/>
      <c r="D167" s="4" t="s">
        <v>1268</v>
      </c>
      <c r="E167" s="4" t="s">
        <v>1269</v>
      </c>
      <c r="F167" s="4" t="s">
        <v>1270</v>
      </c>
      <c r="G167" s="4" t="s">
        <v>1271</v>
      </c>
      <c r="H167" s="28"/>
      <c r="I167" s="27"/>
      <c r="J167" s="27"/>
      <c r="K167" s="27"/>
      <c r="L167" s="27"/>
      <c r="M167" s="24" t="e">
        <f t="shared" si="18"/>
        <v>#DIV/0!</v>
      </c>
      <c r="N167" s="27"/>
      <c r="O167" s="27"/>
      <c r="P167" s="27"/>
      <c r="Q167" s="27"/>
      <c r="R167" s="24" t="e">
        <f t="shared" si="19"/>
        <v>#DIV/0!</v>
      </c>
      <c r="S167" s="15"/>
    </row>
    <row r="168" spans="1:21" ht="63.75" x14ac:dyDescent="0.25">
      <c r="A168" s="68"/>
      <c r="B168" s="28"/>
      <c r="C168" s="28"/>
      <c r="D168" s="4" t="s">
        <v>1272</v>
      </c>
      <c r="E168" s="4" t="s">
        <v>1273</v>
      </c>
      <c r="F168" s="5" t="s">
        <v>1274</v>
      </c>
      <c r="G168" s="4" t="s">
        <v>1275</v>
      </c>
      <c r="H168" s="28"/>
      <c r="I168" s="27"/>
      <c r="J168" s="27"/>
      <c r="K168" s="27"/>
      <c r="L168" s="27"/>
      <c r="M168" s="24" t="e">
        <f t="shared" si="18"/>
        <v>#DIV/0!</v>
      </c>
      <c r="N168" s="27"/>
      <c r="O168" s="27"/>
      <c r="P168" s="27"/>
      <c r="Q168" s="27"/>
      <c r="R168" s="24" t="e">
        <f t="shared" si="19"/>
        <v>#DIV/0!</v>
      </c>
      <c r="S168" s="15"/>
    </row>
    <row r="169" spans="1:21" ht="15" x14ac:dyDescent="0.25">
      <c r="A169" s="35" t="s">
        <v>44</v>
      </c>
      <c r="B169" s="35"/>
      <c r="C169" s="35"/>
      <c r="D169" s="35"/>
      <c r="E169" s="35"/>
      <c r="F169" s="35"/>
      <c r="G169" s="35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</row>
    <row r="170" spans="1:21" ht="15" x14ac:dyDescent="0.25"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</row>
    <row r="171" spans="1:21" ht="15" x14ac:dyDescent="0.25"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</row>
    <row r="172" spans="1:21" ht="15" x14ac:dyDescent="0.25"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</row>
    <row r="173" spans="1:21" ht="15" x14ac:dyDescent="0.25"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</row>
    <row r="174" spans="1:21" ht="15" x14ac:dyDescent="0.25"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</row>
    <row r="175" spans="1:21" ht="15" x14ac:dyDescent="0.25"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</row>
    <row r="176" spans="1:21" ht="15" x14ac:dyDescent="0.25"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</row>
  </sheetData>
  <mergeCells count="150">
    <mergeCell ref="H161:H163"/>
    <mergeCell ref="S161:S164"/>
    <mergeCell ref="I162:I163"/>
    <mergeCell ref="J162:J163"/>
    <mergeCell ref="K162:K163"/>
    <mergeCell ref="L162:L163"/>
    <mergeCell ref="M162:M163"/>
    <mergeCell ref="N162:N163"/>
    <mergeCell ref="O162:O163"/>
    <mergeCell ref="P162:P163"/>
    <mergeCell ref="Q162:Q163"/>
    <mergeCell ref="R162:R163"/>
    <mergeCell ref="H143:H145"/>
    <mergeCell ref="S143:S146"/>
    <mergeCell ref="I144:I145"/>
    <mergeCell ref="J144:J145"/>
    <mergeCell ref="K144:K145"/>
    <mergeCell ref="L144:L145"/>
    <mergeCell ref="M144:M145"/>
    <mergeCell ref="N144:N145"/>
    <mergeCell ref="O144:O145"/>
    <mergeCell ref="P144:P145"/>
    <mergeCell ref="Q144:Q145"/>
    <mergeCell ref="R144:R145"/>
    <mergeCell ref="L91:L92"/>
    <mergeCell ref="M91:M92"/>
    <mergeCell ref="N91:N92"/>
    <mergeCell ref="O91:O92"/>
    <mergeCell ref="P91:P92"/>
    <mergeCell ref="Q91:Q92"/>
    <mergeCell ref="R91:R92"/>
    <mergeCell ref="H106:H108"/>
    <mergeCell ref="S106:S109"/>
    <mergeCell ref="I107:I108"/>
    <mergeCell ref="J107:J108"/>
    <mergeCell ref="K107:K108"/>
    <mergeCell ref="L107:L108"/>
    <mergeCell ref="M107:M108"/>
    <mergeCell ref="N107:N108"/>
    <mergeCell ref="O107:O108"/>
    <mergeCell ref="P107:P108"/>
    <mergeCell ref="Q107:Q108"/>
    <mergeCell ref="R107:R108"/>
    <mergeCell ref="H90:H92"/>
    <mergeCell ref="S90:S93"/>
    <mergeCell ref="I91:I92"/>
    <mergeCell ref="J91:J92"/>
    <mergeCell ref="K91:K92"/>
    <mergeCell ref="H72:H74"/>
    <mergeCell ref="S72:S75"/>
    <mergeCell ref="I73:I74"/>
    <mergeCell ref="J73:J74"/>
    <mergeCell ref="K73:K74"/>
    <mergeCell ref="L73:L74"/>
    <mergeCell ref="M73:M74"/>
    <mergeCell ref="N73:N74"/>
    <mergeCell ref="O73:O74"/>
    <mergeCell ref="P73:P74"/>
    <mergeCell ref="Q73:Q74"/>
    <mergeCell ref="R73:R74"/>
    <mergeCell ref="M36:M37"/>
    <mergeCell ref="N36:N37"/>
    <mergeCell ref="O36:O37"/>
    <mergeCell ref="P36:P37"/>
    <mergeCell ref="Q36:Q37"/>
    <mergeCell ref="R36:R37"/>
    <mergeCell ref="H55:H57"/>
    <mergeCell ref="S55:S58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H35:H37"/>
    <mergeCell ref="S35:S38"/>
    <mergeCell ref="I36:I37"/>
    <mergeCell ref="J36:J37"/>
    <mergeCell ref="K36:K37"/>
    <mergeCell ref="L36:L37"/>
    <mergeCell ref="H15:H17"/>
    <mergeCell ref="S15:S18"/>
    <mergeCell ref="I16:I17"/>
    <mergeCell ref="J16:J17"/>
    <mergeCell ref="K16:K17"/>
    <mergeCell ref="L16:L17"/>
    <mergeCell ref="M16:M17"/>
    <mergeCell ref="N16:N17"/>
    <mergeCell ref="O16:O17"/>
    <mergeCell ref="P16:P17"/>
    <mergeCell ref="Q16:Q17"/>
    <mergeCell ref="R16:R17"/>
    <mergeCell ref="A130:A136"/>
    <mergeCell ref="A147:A154"/>
    <mergeCell ref="A165:A168"/>
    <mergeCell ref="A16:G17"/>
    <mergeCell ref="A36:G37"/>
    <mergeCell ref="A73:G74"/>
    <mergeCell ref="A91:G92"/>
    <mergeCell ref="A107:G108"/>
    <mergeCell ref="A127:G128"/>
    <mergeCell ref="A144:G145"/>
    <mergeCell ref="A162:G163"/>
    <mergeCell ref="A35:G35"/>
    <mergeCell ref="A55:G55"/>
    <mergeCell ref="A90:G90"/>
    <mergeCell ref="A106:G106"/>
    <mergeCell ref="A126:G126"/>
    <mergeCell ref="A143:G143"/>
    <mergeCell ref="A161:G161"/>
    <mergeCell ref="A1:G1"/>
    <mergeCell ref="A2:G3"/>
    <mergeCell ref="A19:A28"/>
    <mergeCell ref="A39:A48"/>
    <mergeCell ref="A59:A65"/>
    <mergeCell ref="A76:A83"/>
    <mergeCell ref="A94:A99"/>
    <mergeCell ref="A110:A119"/>
    <mergeCell ref="A15:G15"/>
    <mergeCell ref="A72:G72"/>
    <mergeCell ref="A56:G57"/>
    <mergeCell ref="A5:A8"/>
    <mergeCell ref="H126:H128"/>
    <mergeCell ref="S126:S129"/>
    <mergeCell ref="I127:I128"/>
    <mergeCell ref="J127:J128"/>
    <mergeCell ref="K127:K128"/>
    <mergeCell ref="L127:L128"/>
    <mergeCell ref="M127:M128"/>
    <mergeCell ref="N127:N128"/>
    <mergeCell ref="O127:O128"/>
    <mergeCell ref="P127:P128"/>
    <mergeCell ref="Q127:Q128"/>
    <mergeCell ref="R127:R128"/>
    <mergeCell ref="H1:H3"/>
    <mergeCell ref="S1:S4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965A1-851F-4C3F-84EA-4E3087284B91}">
  <dimension ref="A1:AB240"/>
  <sheetViews>
    <sheetView topLeftCell="B22" zoomScaleNormal="100" workbookViewId="0">
      <selection activeCell="F22" sqref="F22"/>
    </sheetView>
  </sheetViews>
  <sheetFormatPr baseColWidth="10" defaultColWidth="11.42578125" defaultRowHeight="12.75" x14ac:dyDescent="0.25"/>
  <cols>
    <col min="1" max="1" width="75.42578125" style="21" bestFit="1" customWidth="1"/>
    <col min="2" max="3" width="25.28515625" style="21" customWidth="1"/>
    <col min="4" max="4" width="19.5703125" style="21" customWidth="1"/>
    <col min="5" max="5" width="19.42578125" style="21" customWidth="1"/>
    <col min="6" max="6" width="19.28515625" style="21" bestFit="1" customWidth="1"/>
    <col min="7" max="7" width="22.7109375" style="21" bestFit="1" customWidth="1"/>
    <col min="8" max="8" width="14.85546875" style="21" bestFit="1" customWidth="1"/>
    <col min="9" max="16384" width="11.42578125" style="21"/>
  </cols>
  <sheetData>
    <row r="1" spans="1:28" ht="15" hidden="1" customHeight="1" x14ac:dyDescent="0.25">
      <c r="A1" s="70" t="s">
        <v>120</v>
      </c>
      <c r="B1" s="70"/>
      <c r="C1" s="70"/>
      <c r="D1" s="70"/>
      <c r="E1" s="70"/>
      <c r="F1" s="70"/>
      <c r="G1" s="127"/>
      <c r="H1" s="51">
        <v>2025</v>
      </c>
      <c r="I1" s="25" t="s">
        <v>1435</v>
      </c>
      <c r="J1" s="25" t="s">
        <v>1440</v>
      </c>
      <c r="K1" s="25" t="s">
        <v>1441</v>
      </c>
      <c r="L1" s="25" t="s">
        <v>1442</v>
      </c>
      <c r="M1" s="25" t="s">
        <v>1444</v>
      </c>
      <c r="N1" s="25" t="s">
        <v>1435</v>
      </c>
      <c r="O1" s="25" t="s">
        <v>1440</v>
      </c>
      <c r="P1" s="25" t="s">
        <v>1441</v>
      </c>
      <c r="Q1" s="25" t="s">
        <v>1442</v>
      </c>
      <c r="R1" s="25" t="s">
        <v>1445</v>
      </c>
      <c r="S1" s="54" t="s">
        <v>1447</v>
      </c>
      <c r="U1" s="44"/>
      <c r="V1" s="44"/>
      <c r="W1" s="44"/>
      <c r="X1" s="44"/>
      <c r="Y1" s="44"/>
      <c r="Z1" s="44"/>
      <c r="AA1" s="44"/>
      <c r="AB1" s="44"/>
    </row>
    <row r="2" spans="1:28" ht="15" hidden="1" customHeight="1" x14ac:dyDescent="0.25">
      <c r="A2" s="71" t="s">
        <v>45</v>
      </c>
      <c r="B2" s="71"/>
      <c r="C2" s="71"/>
      <c r="D2" s="71"/>
      <c r="E2" s="71"/>
      <c r="F2" s="71"/>
      <c r="G2" s="128"/>
      <c r="H2" s="52"/>
      <c r="I2" s="25" t="s">
        <v>1436</v>
      </c>
      <c r="J2" s="25" t="s">
        <v>1437</v>
      </c>
      <c r="K2" s="25" t="s">
        <v>1438</v>
      </c>
      <c r="L2" s="25" t="s">
        <v>1439</v>
      </c>
      <c r="M2" s="25" t="s">
        <v>55</v>
      </c>
      <c r="N2" s="25" t="s">
        <v>1436</v>
      </c>
      <c r="O2" s="25" t="s">
        <v>1437</v>
      </c>
      <c r="P2" s="25" t="s">
        <v>1438</v>
      </c>
      <c r="Q2" s="25" t="s">
        <v>1439</v>
      </c>
      <c r="R2" s="25" t="s">
        <v>55</v>
      </c>
      <c r="S2" s="54"/>
      <c r="U2" s="44"/>
      <c r="V2" s="44"/>
      <c r="W2" s="44"/>
      <c r="X2" s="44"/>
      <c r="Y2" s="44"/>
      <c r="Z2" s="44"/>
      <c r="AA2" s="44"/>
      <c r="AB2" s="44"/>
    </row>
    <row r="3" spans="1:28" hidden="1" x14ac:dyDescent="0.25">
      <c r="A3" s="71"/>
      <c r="B3" s="71"/>
      <c r="C3" s="71"/>
      <c r="D3" s="71"/>
      <c r="E3" s="71"/>
      <c r="F3" s="71"/>
      <c r="G3" s="128"/>
      <c r="H3" s="53"/>
      <c r="I3" s="25"/>
      <c r="J3" s="25"/>
      <c r="K3" s="25"/>
      <c r="L3" s="25"/>
      <c r="M3" s="25"/>
      <c r="N3" s="25"/>
      <c r="O3" s="25"/>
      <c r="P3" s="25"/>
      <c r="Q3" s="25"/>
      <c r="R3" s="25"/>
      <c r="S3" s="54"/>
      <c r="U3" s="44"/>
      <c r="V3" s="44"/>
      <c r="W3" s="44"/>
      <c r="X3" s="44"/>
      <c r="Y3" s="44"/>
      <c r="Z3" s="44"/>
      <c r="AA3" s="44"/>
      <c r="AB3" s="44"/>
    </row>
    <row r="4" spans="1:28" ht="25.5" hidden="1" x14ac:dyDescent="0.25">
      <c r="A4" s="10" t="s">
        <v>1</v>
      </c>
      <c r="B4" s="10" t="s">
        <v>1428</v>
      </c>
      <c r="C4" s="23" t="s">
        <v>1446</v>
      </c>
      <c r="D4" s="10" t="s">
        <v>2</v>
      </c>
      <c r="E4" s="10" t="s">
        <v>3</v>
      </c>
      <c r="F4" s="10" t="s">
        <v>4</v>
      </c>
      <c r="G4" s="10" t="s">
        <v>5</v>
      </c>
      <c r="H4" s="23" t="s">
        <v>1433</v>
      </c>
      <c r="I4" s="23" t="s">
        <v>1434</v>
      </c>
      <c r="J4" s="23" t="s">
        <v>1434</v>
      </c>
      <c r="K4" s="23" t="s">
        <v>1434</v>
      </c>
      <c r="L4" s="23" t="s">
        <v>1434</v>
      </c>
      <c r="M4" s="23" t="s">
        <v>1443</v>
      </c>
      <c r="N4" s="23" t="s">
        <v>1448</v>
      </c>
      <c r="O4" s="23" t="s">
        <v>1448</v>
      </c>
      <c r="P4" s="23" t="s">
        <v>1448</v>
      </c>
      <c r="Q4" s="23" t="s">
        <v>1448</v>
      </c>
      <c r="R4" s="23" t="s">
        <v>1449</v>
      </c>
      <c r="S4" s="54"/>
    </row>
    <row r="5" spans="1:28" ht="63.75" hidden="1" x14ac:dyDescent="0.25">
      <c r="A5" s="66" t="s">
        <v>121</v>
      </c>
      <c r="B5" s="28"/>
      <c r="C5" s="28"/>
      <c r="D5" s="4" t="s">
        <v>122</v>
      </c>
      <c r="E5" s="4" t="s">
        <v>123</v>
      </c>
      <c r="F5" s="4" t="s">
        <v>124</v>
      </c>
      <c r="G5" s="4" t="s">
        <v>125</v>
      </c>
      <c r="H5" s="28"/>
      <c r="I5" s="28"/>
      <c r="J5" s="27"/>
      <c r="K5" s="27"/>
      <c r="L5" s="27"/>
      <c r="M5" s="24" t="e">
        <f>IF(SUM(I5:L5)=H5,SUM(I5:L5)*100%/H5,"Dato erroneo no cumple con la meta Absoluta (establecida)")</f>
        <v>#DIV/0!</v>
      </c>
      <c r="N5" s="27"/>
      <c r="O5" s="27"/>
      <c r="P5" s="27"/>
      <c r="Q5" s="27"/>
      <c r="R5" s="24" t="e">
        <f>SUM(N5:Q5)*100%/H5</f>
        <v>#DIV/0!</v>
      </c>
      <c r="S5" s="15"/>
    </row>
    <row r="6" spans="1:28" ht="63.75" hidden="1" x14ac:dyDescent="0.25">
      <c r="A6" s="67"/>
      <c r="B6" s="28"/>
      <c r="C6" s="28"/>
      <c r="D6" s="4" t="s">
        <v>126</v>
      </c>
      <c r="E6" s="4" t="s">
        <v>127</v>
      </c>
      <c r="F6" s="4" t="s">
        <v>128</v>
      </c>
      <c r="G6" s="4" t="s">
        <v>129</v>
      </c>
      <c r="H6" s="28"/>
      <c r="I6" s="28"/>
      <c r="J6" s="27"/>
      <c r="K6" s="27"/>
      <c r="L6" s="27"/>
      <c r="M6" s="24" t="e">
        <f t="shared" ref="M6:M8" si="0">IF(SUM(I6:L6)=H6,SUM(I6:L6)*100%/H6,"Dato erroneo no cumple con la meta Absoluta (establecida)")</f>
        <v>#DIV/0!</v>
      </c>
      <c r="N6" s="27"/>
      <c r="O6" s="27"/>
      <c r="P6" s="27"/>
      <c r="Q6" s="27"/>
      <c r="R6" s="24" t="e">
        <f t="shared" ref="R6:R8" si="1">SUM(N6:Q6)*100%/H6</f>
        <v>#DIV/0!</v>
      </c>
      <c r="S6" s="15"/>
    </row>
    <row r="7" spans="1:28" ht="63.75" hidden="1" x14ac:dyDescent="0.25">
      <c r="A7" s="67"/>
      <c r="B7" s="28"/>
      <c r="C7" s="28"/>
      <c r="D7" s="4" t="s">
        <v>130</v>
      </c>
      <c r="E7" s="4" t="s">
        <v>131</v>
      </c>
      <c r="F7" s="4" t="s">
        <v>132</v>
      </c>
      <c r="G7" s="4" t="s">
        <v>133</v>
      </c>
      <c r="H7" s="28"/>
      <c r="I7" s="28"/>
      <c r="J7" s="27"/>
      <c r="K7" s="27"/>
      <c r="L7" s="27"/>
      <c r="M7" s="24" t="e">
        <f t="shared" si="0"/>
        <v>#DIV/0!</v>
      </c>
      <c r="N7" s="27"/>
      <c r="O7" s="27"/>
      <c r="P7" s="27"/>
      <c r="Q7" s="27"/>
      <c r="R7" s="24" t="e">
        <f t="shared" si="1"/>
        <v>#DIV/0!</v>
      </c>
      <c r="S7" s="15"/>
    </row>
    <row r="8" spans="1:28" ht="89.25" hidden="1" x14ac:dyDescent="0.25">
      <c r="A8" s="68"/>
      <c r="B8" s="28"/>
      <c r="C8" s="28"/>
      <c r="D8" s="4" t="s">
        <v>134</v>
      </c>
      <c r="E8" s="4" t="s">
        <v>135</v>
      </c>
      <c r="F8" s="4" t="s">
        <v>136</v>
      </c>
      <c r="G8" s="4" t="s">
        <v>137</v>
      </c>
      <c r="H8" s="28"/>
      <c r="I8" s="28"/>
      <c r="J8" s="27"/>
      <c r="K8" s="27"/>
      <c r="L8" s="27"/>
      <c r="M8" s="24" t="e">
        <f t="shared" si="0"/>
        <v>#DIV/0!</v>
      </c>
      <c r="N8" s="27"/>
      <c r="O8" s="27"/>
      <c r="P8" s="27"/>
      <c r="Q8" s="27"/>
      <c r="R8" s="24" t="e">
        <f t="shared" si="1"/>
        <v>#DIV/0!</v>
      </c>
      <c r="S8" s="15"/>
    </row>
    <row r="9" spans="1:28" ht="15" hidden="1" x14ac:dyDescent="0.25">
      <c r="A9" s="35" t="s">
        <v>46</v>
      </c>
      <c r="B9" s="35"/>
      <c r="C9" s="35"/>
      <c r="D9" s="35"/>
      <c r="E9" s="35"/>
      <c r="F9" s="35"/>
      <c r="G9" s="35"/>
      <c r="H9"/>
      <c r="I9"/>
      <c r="J9"/>
      <c r="K9"/>
      <c r="L9"/>
      <c r="M9"/>
      <c r="N9"/>
      <c r="O9"/>
      <c r="P9"/>
      <c r="Q9"/>
      <c r="R9"/>
      <c r="S9"/>
      <c r="T9"/>
      <c r="U9"/>
    </row>
    <row r="10" spans="1:28" ht="15" hidden="1" x14ac:dyDescent="0.25">
      <c r="A10" s="36"/>
      <c r="B10" s="36"/>
      <c r="C10" s="36"/>
      <c r="D10" s="36"/>
      <c r="E10" s="36"/>
      <c r="F10" s="36"/>
      <c r="G10" s="36"/>
      <c r="H10"/>
      <c r="I10"/>
      <c r="J10"/>
      <c r="K10"/>
      <c r="L10"/>
      <c r="M10"/>
      <c r="N10"/>
      <c r="O10"/>
      <c r="P10"/>
      <c r="Q10"/>
      <c r="R10"/>
      <c r="S10"/>
      <c r="T10"/>
      <c r="U10"/>
    </row>
    <row r="11" spans="1:28" ht="15" hidden="1" x14ac:dyDescent="0.25">
      <c r="A11" s="36"/>
      <c r="B11" s="36"/>
      <c r="C11" s="36"/>
      <c r="D11" s="36"/>
      <c r="E11" s="36"/>
      <c r="F11" s="36"/>
      <c r="G11" s="36"/>
      <c r="H11"/>
      <c r="I11"/>
      <c r="J11"/>
      <c r="K11"/>
      <c r="L11"/>
      <c r="M11"/>
      <c r="N11"/>
      <c r="O11"/>
      <c r="P11"/>
      <c r="Q11"/>
      <c r="R11"/>
      <c r="S11"/>
      <c r="T11"/>
      <c r="U11"/>
    </row>
    <row r="12" spans="1:28" ht="15" hidden="1" x14ac:dyDescent="0.25">
      <c r="A12" s="36"/>
      <c r="B12" s="36"/>
      <c r="C12" s="36"/>
      <c r="D12" s="36"/>
      <c r="E12" s="36"/>
      <c r="F12" s="36"/>
      <c r="G12" s="36"/>
      <c r="H12"/>
      <c r="I12"/>
      <c r="J12"/>
      <c r="K12"/>
      <c r="L12"/>
      <c r="M12"/>
      <c r="N12"/>
      <c r="O12"/>
      <c r="P12"/>
      <c r="Q12"/>
      <c r="R12"/>
      <c r="S12"/>
      <c r="T12"/>
      <c r="U12"/>
    </row>
    <row r="13" spans="1:28" x14ac:dyDescent="0.25">
      <c r="A13" s="36"/>
      <c r="B13" s="36"/>
      <c r="C13" s="36"/>
      <c r="D13" s="36"/>
      <c r="E13" s="36"/>
      <c r="F13" s="36"/>
      <c r="G13" s="36"/>
    </row>
    <row r="14" spans="1:28" x14ac:dyDescent="0.25">
      <c r="A14" s="8"/>
      <c r="B14" s="8"/>
      <c r="C14" s="8"/>
      <c r="D14" s="8"/>
      <c r="E14" s="8"/>
      <c r="F14" s="8"/>
      <c r="G14" s="8"/>
    </row>
    <row r="15" spans="1:28" ht="15" customHeight="1" x14ac:dyDescent="0.25">
      <c r="A15" s="63" t="s">
        <v>120</v>
      </c>
      <c r="B15" s="64"/>
      <c r="C15" s="64"/>
      <c r="D15" s="64"/>
      <c r="E15" s="64"/>
      <c r="F15" s="64"/>
      <c r="G15" s="64"/>
      <c r="H15" s="51">
        <v>2025</v>
      </c>
      <c r="I15" s="25" t="s">
        <v>1435</v>
      </c>
      <c r="J15" s="25" t="s">
        <v>1440</v>
      </c>
      <c r="K15" s="25" t="s">
        <v>1441</v>
      </c>
      <c r="L15" s="25" t="s">
        <v>1442</v>
      </c>
      <c r="M15" s="25" t="s">
        <v>1444</v>
      </c>
      <c r="N15" s="25" t="s">
        <v>1435</v>
      </c>
      <c r="O15" s="25" t="s">
        <v>1440</v>
      </c>
      <c r="P15" s="25" t="s">
        <v>1441</v>
      </c>
      <c r="Q15" s="25" t="s">
        <v>1442</v>
      </c>
      <c r="R15" s="25" t="s">
        <v>1445</v>
      </c>
      <c r="S15" s="54" t="s">
        <v>1447</v>
      </c>
      <c r="T15" s="44"/>
      <c r="U15" s="44"/>
      <c r="V15" s="44"/>
      <c r="W15" s="44"/>
      <c r="X15" s="44"/>
      <c r="Y15" s="44"/>
      <c r="Z15" s="44"/>
      <c r="AA15" s="44"/>
      <c r="AB15" s="44"/>
    </row>
    <row r="16" spans="1:28" ht="15" customHeight="1" x14ac:dyDescent="0.25">
      <c r="A16" s="57" t="s">
        <v>47</v>
      </c>
      <c r="B16" s="58"/>
      <c r="C16" s="58"/>
      <c r="D16" s="58"/>
      <c r="E16" s="58"/>
      <c r="F16" s="58"/>
      <c r="G16" s="58"/>
      <c r="H16" s="52"/>
      <c r="I16" s="25" t="s">
        <v>1436</v>
      </c>
      <c r="J16" s="25" t="s">
        <v>1437</v>
      </c>
      <c r="K16" s="25" t="s">
        <v>1438</v>
      </c>
      <c r="L16" s="25" t="s">
        <v>1439</v>
      </c>
      <c r="M16" s="25" t="s">
        <v>55</v>
      </c>
      <c r="N16" s="25" t="s">
        <v>1436</v>
      </c>
      <c r="O16" s="25" t="s">
        <v>1437</v>
      </c>
      <c r="P16" s="25" t="s">
        <v>1438</v>
      </c>
      <c r="Q16" s="25" t="s">
        <v>1439</v>
      </c>
      <c r="R16" s="25" t="s">
        <v>55</v>
      </c>
      <c r="S16" s="54"/>
      <c r="T16" s="44"/>
      <c r="U16" s="44"/>
      <c r="V16" s="44"/>
      <c r="W16" s="44"/>
      <c r="X16" s="44"/>
      <c r="Y16" s="44"/>
      <c r="Z16" s="44"/>
      <c r="AA16" s="44"/>
      <c r="AB16" s="44"/>
    </row>
    <row r="17" spans="1:28" ht="13.5" customHeight="1" x14ac:dyDescent="0.25">
      <c r="A17" s="60"/>
      <c r="B17" s="61"/>
      <c r="C17" s="61"/>
      <c r="D17" s="61"/>
      <c r="E17" s="61"/>
      <c r="F17" s="61"/>
      <c r="G17" s="61"/>
      <c r="H17" s="53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54"/>
      <c r="T17" s="44"/>
      <c r="U17" s="44"/>
      <c r="V17" s="44"/>
      <c r="W17" s="44"/>
      <c r="X17" s="44"/>
      <c r="Y17" s="44"/>
      <c r="Z17" s="44"/>
      <c r="AA17" s="44"/>
      <c r="AB17" s="44"/>
    </row>
    <row r="18" spans="1:28" ht="25.5" x14ac:dyDescent="0.25">
      <c r="A18" s="10" t="s">
        <v>1</v>
      </c>
      <c r="B18" s="10" t="s">
        <v>1428</v>
      </c>
      <c r="C18" s="23" t="s">
        <v>1446</v>
      </c>
      <c r="D18" s="10" t="s">
        <v>2</v>
      </c>
      <c r="E18" s="10" t="s">
        <v>3</v>
      </c>
      <c r="F18" s="10" t="s">
        <v>4</v>
      </c>
      <c r="G18" s="10" t="s">
        <v>5</v>
      </c>
      <c r="H18" s="23" t="s">
        <v>1433</v>
      </c>
      <c r="I18" s="23" t="s">
        <v>1434</v>
      </c>
      <c r="J18" s="23" t="s">
        <v>1434</v>
      </c>
      <c r="K18" s="23" t="s">
        <v>1434</v>
      </c>
      <c r="L18" s="23" t="s">
        <v>1434</v>
      </c>
      <c r="M18" s="23" t="s">
        <v>1443</v>
      </c>
      <c r="N18" s="23" t="s">
        <v>1448</v>
      </c>
      <c r="O18" s="23" t="s">
        <v>1448</v>
      </c>
      <c r="P18" s="23" t="s">
        <v>1448</v>
      </c>
      <c r="Q18" s="23" t="s">
        <v>1448</v>
      </c>
      <c r="R18" s="23" t="s">
        <v>1449</v>
      </c>
      <c r="S18" s="54"/>
    </row>
    <row r="19" spans="1:28" ht="90.6" customHeight="1" x14ac:dyDescent="0.25">
      <c r="A19" s="66" t="s">
        <v>138</v>
      </c>
      <c r="B19" s="28"/>
      <c r="C19" s="28"/>
      <c r="D19" s="4" t="s">
        <v>139</v>
      </c>
      <c r="E19" s="4" t="s">
        <v>140</v>
      </c>
      <c r="F19" s="4" t="s">
        <v>141</v>
      </c>
      <c r="G19" s="4" t="s">
        <v>142</v>
      </c>
      <c r="H19" s="28"/>
      <c r="I19" s="28"/>
      <c r="J19" s="27"/>
      <c r="K19" s="27"/>
      <c r="L19" s="27"/>
      <c r="M19" s="24" t="e">
        <f>IF(SUM(I19:L19)=H19,SUM(I19:L19)*100%/H19,"Dato erroneo no cumple con la meta Absoluta (establecida)")</f>
        <v>#DIV/0!</v>
      </c>
      <c r="N19" s="27"/>
      <c r="O19" s="27"/>
      <c r="P19" s="27"/>
      <c r="Q19" s="27"/>
      <c r="R19" s="24" t="e">
        <f>SUM(N19:Q19)*100%/H19</f>
        <v>#DIV/0!</v>
      </c>
      <c r="S19" s="15"/>
    </row>
    <row r="20" spans="1:28" ht="63.6" customHeight="1" x14ac:dyDescent="0.25">
      <c r="A20" s="67"/>
      <c r="B20" s="28"/>
      <c r="C20" s="28"/>
      <c r="D20" s="4" t="s">
        <v>143</v>
      </c>
      <c r="E20" s="4" t="s">
        <v>144</v>
      </c>
      <c r="F20" s="4" t="s">
        <v>145</v>
      </c>
      <c r="G20" s="4" t="s">
        <v>146</v>
      </c>
      <c r="H20" s="28"/>
      <c r="I20" s="28"/>
      <c r="J20" s="27"/>
      <c r="K20" s="27"/>
      <c r="L20" s="27"/>
      <c r="M20" s="24" t="e">
        <f t="shared" ref="M20:M22" si="2">IF(SUM(I20:L20)=H20,SUM(I20:L20)*100%/H20,"Dato erroneo no cumple con la meta Absoluta (establecida)")</f>
        <v>#DIV/0!</v>
      </c>
      <c r="N20" s="27"/>
      <c r="O20" s="27"/>
      <c r="P20" s="27"/>
      <c r="Q20" s="27"/>
      <c r="R20" s="24" t="e">
        <f t="shared" ref="R20:R22" si="3">SUM(N20:Q20)*100%/H20</f>
        <v>#DIV/0!</v>
      </c>
      <c r="S20" s="15"/>
    </row>
    <row r="21" spans="1:28" ht="77.099999999999994" customHeight="1" x14ac:dyDescent="0.25">
      <c r="A21" s="67"/>
      <c r="B21" s="28"/>
      <c r="C21" s="28"/>
      <c r="D21" s="4" t="s">
        <v>147</v>
      </c>
      <c r="E21" s="4" t="s">
        <v>148</v>
      </c>
      <c r="F21" s="4" t="s">
        <v>149</v>
      </c>
      <c r="G21" s="4" t="s">
        <v>150</v>
      </c>
      <c r="H21" s="28"/>
      <c r="I21" s="28"/>
      <c r="J21" s="27"/>
      <c r="K21" s="27"/>
      <c r="L21" s="27"/>
      <c r="M21" s="24" t="e">
        <f t="shared" si="2"/>
        <v>#DIV/0!</v>
      </c>
      <c r="N21" s="27"/>
      <c r="O21" s="27"/>
      <c r="P21" s="27"/>
      <c r="Q21" s="27"/>
      <c r="R21" s="24" t="e">
        <f t="shared" si="3"/>
        <v>#DIV/0!</v>
      </c>
      <c r="S21" s="15"/>
    </row>
    <row r="22" spans="1:28" ht="89.25" x14ac:dyDescent="0.25">
      <c r="A22" s="68"/>
      <c r="B22" s="28"/>
      <c r="C22" s="28"/>
      <c r="D22" s="4" t="s">
        <v>151</v>
      </c>
      <c r="E22" s="4" t="s">
        <v>152</v>
      </c>
      <c r="F22" s="4" t="s">
        <v>153</v>
      </c>
      <c r="G22" s="4" t="s">
        <v>154</v>
      </c>
      <c r="H22" s="28"/>
      <c r="I22" s="28"/>
      <c r="J22" s="27"/>
      <c r="K22" s="27"/>
      <c r="L22" s="27"/>
      <c r="M22" s="24" t="e">
        <f t="shared" si="2"/>
        <v>#DIV/0!</v>
      </c>
      <c r="N22" s="27"/>
      <c r="O22" s="27"/>
      <c r="P22" s="27"/>
      <c r="Q22" s="27"/>
      <c r="R22" s="24" t="e">
        <f t="shared" si="3"/>
        <v>#DIV/0!</v>
      </c>
      <c r="S22" s="15"/>
    </row>
    <row r="23" spans="1:28" ht="15" x14ac:dyDescent="0.25">
      <c r="A23" s="35" t="s">
        <v>155</v>
      </c>
      <c r="B23" s="35"/>
      <c r="C23" s="35"/>
      <c r="D23" s="35"/>
      <c r="E23" s="35"/>
      <c r="F23" s="35"/>
      <c r="G23" s="35"/>
      <c r="H23"/>
      <c r="I23"/>
      <c r="J23"/>
      <c r="K23"/>
      <c r="L23"/>
      <c r="M23"/>
      <c r="N23"/>
      <c r="O23"/>
      <c r="P23"/>
      <c r="Q23"/>
      <c r="R23"/>
      <c r="S23"/>
    </row>
    <row r="24" spans="1:28" ht="15" x14ac:dyDescent="0.25">
      <c r="A24" s="36"/>
      <c r="B24" s="36"/>
      <c r="C24" s="36"/>
      <c r="D24" s="36"/>
      <c r="E24" s="36"/>
      <c r="F24" s="36"/>
      <c r="G24" s="36"/>
      <c r="H24"/>
      <c r="I24"/>
      <c r="J24"/>
      <c r="K24"/>
      <c r="L24"/>
      <c r="M24"/>
      <c r="N24"/>
      <c r="O24"/>
      <c r="P24"/>
      <c r="Q24"/>
      <c r="R24"/>
      <c r="S24"/>
    </row>
    <row r="25" spans="1:28" ht="15" x14ac:dyDescent="0.25">
      <c r="A25" s="36"/>
      <c r="B25" s="36"/>
      <c r="C25" s="36"/>
      <c r="D25" s="36"/>
      <c r="E25" s="36"/>
      <c r="F25" s="36"/>
      <c r="G25" s="36"/>
      <c r="H25"/>
      <c r="I25"/>
      <c r="J25"/>
      <c r="K25"/>
      <c r="L25"/>
      <c r="M25"/>
      <c r="N25"/>
      <c r="O25"/>
      <c r="P25"/>
      <c r="Q25"/>
      <c r="R25"/>
      <c r="S25"/>
    </row>
    <row r="26" spans="1:28" ht="15" x14ac:dyDescent="0.25">
      <c r="A26" s="36"/>
      <c r="B26" s="36"/>
      <c r="C26" s="36"/>
      <c r="D26" s="36"/>
      <c r="E26" s="36"/>
      <c r="F26" s="36"/>
      <c r="G26" s="36"/>
      <c r="H26"/>
      <c r="I26"/>
      <c r="J26"/>
      <c r="K26"/>
      <c r="L26"/>
      <c r="M26"/>
      <c r="N26"/>
      <c r="O26"/>
      <c r="P26"/>
      <c r="Q26"/>
      <c r="R26"/>
      <c r="S26"/>
    </row>
    <row r="27" spans="1:28" ht="15" x14ac:dyDescent="0.25">
      <c r="A27" s="36"/>
      <c r="B27" s="36"/>
      <c r="C27" s="36"/>
      <c r="D27" s="36"/>
      <c r="E27" s="36"/>
      <c r="F27" s="36"/>
      <c r="G27" s="36"/>
      <c r="H27"/>
      <c r="I27"/>
      <c r="J27"/>
      <c r="K27"/>
      <c r="L27"/>
      <c r="M27"/>
      <c r="N27"/>
      <c r="O27"/>
      <c r="P27"/>
      <c r="Q27"/>
      <c r="R27"/>
      <c r="S27"/>
    </row>
    <row r="28" spans="1:28" x14ac:dyDescent="0.25">
      <c r="A28" s="36"/>
      <c r="B28" s="36"/>
      <c r="C28" s="36"/>
      <c r="D28" s="36"/>
      <c r="E28" s="36"/>
      <c r="F28" s="36"/>
      <c r="G28" s="36"/>
    </row>
    <row r="29" spans="1:28" hidden="1" x14ac:dyDescent="0.25">
      <c r="A29" s="8"/>
      <c r="B29" s="8"/>
      <c r="C29" s="8"/>
      <c r="D29" s="8"/>
      <c r="E29" s="8"/>
      <c r="F29" s="8"/>
      <c r="G29" s="8"/>
    </row>
    <row r="30" spans="1:28" ht="38.25" hidden="1" x14ac:dyDescent="0.25">
      <c r="A30" s="41" t="s">
        <v>120</v>
      </c>
      <c r="B30" s="42"/>
      <c r="C30" s="42"/>
      <c r="D30" s="42"/>
      <c r="E30" s="42"/>
      <c r="F30" s="42"/>
      <c r="G30" s="42"/>
      <c r="H30" s="51">
        <v>2025</v>
      </c>
      <c r="I30" s="25" t="s">
        <v>1435</v>
      </c>
      <c r="J30" s="25" t="s">
        <v>1440</v>
      </c>
      <c r="K30" s="25" t="s">
        <v>1441</v>
      </c>
      <c r="L30" s="25" t="s">
        <v>1442</v>
      </c>
      <c r="M30" s="25" t="s">
        <v>1444</v>
      </c>
      <c r="N30" s="25" t="s">
        <v>1435</v>
      </c>
      <c r="O30" s="25" t="s">
        <v>1440</v>
      </c>
      <c r="P30" s="25" t="s">
        <v>1441</v>
      </c>
      <c r="Q30" s="25" t="s">
        <v>1442</v>
      </c>
      <c r="R30" s="25" t="s">
        <v>1445</v>
      </c>
      <c r="S30" s="54" t="s">
        <v>1447</v>
      </c>
      <c r="T30" s="44"/>
      <c r="U30" s="44"/>
      <c r="V30" s="44"/>
      <c r="W30" s="44"/>
      <c r="X30" s="44"/>
      <c r="Y30" s="44"/>
      <c r="Z30" s="44"/>
      <c r="AA30" s="44"/>
      <c r="AB30" s="44"/>
    </row>
    <row r="31" spans="1:28" ht="15" hidden="1" customHeight="1" x14ac:dyDescent="0.25">
      <c r="A31" s="43" t="s">
        <v>48</v>
      </c>
      <c r="B31" s="43"/>
      <c r="C31" s="43"/>
      <c r="D31" s="43"/>
      <c r="E31" s="43"/>
      <c r="F31" s="43"/>
      <c r="G31" s="43"/>
      <c r="H31" s="52"/>
      <c r="I31" s="25" t="s">
        <v>1436</v>
      </c>
      <c r="J31" s="25" t="s">
        <v>1437</v>
      </c>
      <c r="K31" s="25" t="s">
        <v>1438</v>
      </c>
      <c r="L31" s="25" t="s">
        <v>1439</v>
      </c>
      <c r="M31" s="25" t="s">
        <v>55</v>
      </c>
      <c r="N31" s="25" t="s">
        <v>1436</v>
      </c>
      <c r="O31" s="25" t="s">
        <v>1437</v>
      </c>
      <c r="P31" s="25" t="s">
        <v>1438</v>
      </c>
      <c r="Q31" s="25" t="s">
        <v>1439</v>
      </c>
      <c r="R31" s="25" t="s">
        <v>55</v>
      </c>
      <c r="S31" s="54"/>
      <c r="T31" s="44"/>
      <c r="U31" s="44"/>
      <c r="V31" s="44"/>
      <c r="W31" s="44"/>
      <c r="X31" s="44"/>
      <c r="Y31" s="44"/>
      <c r="Z31" s="44"/>
      <c r="AA31" s="44"/>
      <c r="AB31" s="44"/>
    </row>
    <row r="32" spans="1:28" ht="13.5" hidden="1" customHeight="1" x14ac:dyDescent="0.25">
      <c r="A32" s="40"/>
      <c r="B32" s="40"/>
      <c r="C32" s="40"/>
      <c r="D32" s="40"/>
      <c r="E32" s="40"/>
      <c r="F32" s="40"/>
      <c r="G32" s="40"/>
      <c r="H32" s="53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54"/>
      <c r="T32" s="44"/>
      <c r="U32" s="44"/>
      <c r="V32" s="44"/>
      <c r="W32" s="44"/>
      <c r="X32" s="44"/>
      <c r="Y32" s="44"/>
      <c r="Z32" s="44"/>
      <c r="AA32" s="44"/>
      <c r="AB32" s="44"/>
    </row>
    <row r="33" spans="1:28" ht="25.5" hidden="1" x14ac:dyDescent="0.25">
      <c r="A33" s="10" t="s">
        <v>1</v>
      </c>
      <c r="B33" s="10" t="s">
        <v>1428</v>
      </c>
      <c r="C33" s="23" t="s">
        <v>1446</v>
      </c>
      <c r="D33" s="10" t="s">
        <v>2</v>
      </c>
      <c r="E33" s="10" t="s">
        <v>3</v>
      </c>
      <c r="F33" s="10" t="s">
        <v>4</v>
      </c>
      <c r="G33" s="10" t="s">
        <v>5</v>
      </c>
      <c r="H33" s="23" t="s">
        <v>1433</v>
      </c>
      <c r="I33" s="23" t="s">
        <v>1434</v>
      </c>
      <c r="J33" s="23" t="s">
        <v>1434</v>
      </c>
      <c r="K33" s="23" t="s">
        <v>1434</v>
      </c>
      <c r="L33" s="23" t="s">
        <v>1434</v>
      </c>
      <c r="M33" s="23" t="s">
        <v>1443</v>
      </c>
      <c r="N33" s="23" t="s">
        <v>1448</v>
      </c>
      <c r="O33" s="23" t="s">
        <v>1448</v>
      </c>
      <c r="P33" s="23" t="s">
        <v>1448</v>
      </c>
      <c r="Q33" s="23" t="s">
        <v>1448</v>
      </c>
      <c r="R33" s="23" t="s">
        <v>1449</v>
      </c>
      <c r="S33" s="54"/>
    </row>
    <row r="34" spans="1:28" ht="63.75" hidden="1" x14ac:dyDescent="0.25">
      <c r="A34" s="66" t="s">
        <v>156</v>
      </c>
      <c r="B34" s="28"/>
      <c r="C34" s="28"/>
      <c r="D34" s="4" t="s">
        <v>157</v>
      </c>
      <c r="E34" s="4" t="s">
        <v>158</v>
      </c>
      <c r="F34" s="4" t="s">
        <v>159</v>
      </c>
      <c r="G34" s="4" t="s">
        <v>160</v>
      </c>
      <c r="H34" s="28"/>
      <c r="I34" s="28"/>
      <c r="J34" s="27"/>
      <c r="K34" s="27"/>
      <c r="L34" s="27"/>
      <c r="M34" s="24" t="e">
        <f>IF(SUM(I34:L34)=H34,SUM(I34:L34)*100%/H34,"Dato erroneo no cumple con la meta Absoluta (establecida)")</f>
        <v>#DIV/0!</v>
      </c>
      <c r="N34" s="28"/>
      <c r="O34" s="27"/>
      <c r="P34" s="27"/>
      <c r="Q34" s="27"/>
      <c r="R34" s="24" t="e">
        <f>SUM(N34:Q34)*100%/H34</f>
        <v>#DIV/0!</v>
      </c>
      <c r="S34" s="15"/>
    </row>
    <row r="35" spans="1:28" ht="63.75" hidden="1" x14ac:dyDescent="0.25">
      <c r="A35" s="67"/>
      <c r="B35" s="28"/>
      <c r="C35" s="28"/>
      <c r="D35" s="4" t="s">
        <v>161</v>
      </c>
      <c r="E35" s="4" t="s">
        <v>162</v>
      </c>
      <c r="F35" s="4" t="s">
        <v>163</v>
      </c>
      <c r="G35" s="4" t="s">
        <v>164</v>
      </c>
      <c r="H35" s="28"/>
      <c r="I35" s="28"/>
      <c r="J35" s="27"/>
      <c r="K35" s="27"/>
      <c r="L35" s="27"/>
      <c r="M35" s="24" t="e">
        <f t="shared" ref="M35:M37" si="4">IF(SUM(I35:L35)=H35,SUM(I35:L35)*100%/H35,"Dato erroneo no cumple con la meta Absoluta (establecida)")</f>
        <v>#DIV/0!</v>
      </c>
      <c r="N35" s="28"/>
      <c r="O35" s="27"/>
      <c r="P35" s="27"/>
      <c r="Q35" s="27"/>
      <c r="R35" s="24" t="e">
        <f t="shared" ref="R35:R37" si="5">SUM(N35:Q35)*100%/H35</f>
        <v>#DIV/0!</v>
      </c>
      <c r="S35" s="15"/>
    </row>
    <row r="36" spans="1:28" ht="63.75" hidden="1" x14ac:dyDescent="0.25">
      <c r="A36" s="67"/>
      <c r="B36" s="28"/>
      <c r="C36" s="28"/>
      <c r="D36" s="4" t="s">
        <v>165</v>
      </c>
      <c r="E36" s="4" t="s">
        <v>166</v>
      </c>
      <c r="F36" s="4" t="s">
        <v>167</v>
      </c>
      <c r="G36" s="4" t="s">
        <v>168</v>
      </c>
      <c r="H36" s="28"/>
      <c r="I36" s="28"/>
      <c r="J36" s="27"/>
      <c r="K36" s="27"/>
      <c r="L36" s="27"/>
      <c r="M36" s="24" t="e">
        <f t="shared" si="4"/>
        <v>#DIV/0!</v>
      </c>
      <c r="N36" s="28"/>
      <c r="O36" s="27"/>
      <c r="P36" s="27"/>
      <c r="Q36" s="27"/>
      <c r="R36" s="24" t="e">
        <f t="shared" si="5"/>
        <v>#DIV/0!</v>
      </c>
      <c r="S36" s="15"/>
    </row>
    <row r="37" spans="1:28" ht="89.25" hidden="1" x14ac:dyDescent="0.25">
      <c r="A37" s="68"/>
      <c r="B37" s="28"/>
      <c r="C37" s="28"/>
      <c r="D37" s="4" t="s">
        <v>169</v>
      </c>
      <c r="E37" s="4" t="s">
        <v>170</v>
      </c>
      <c r="F37" s="4" t="s">
        <v>171</v>
      </c>
      <c r="G37" s="4" t="s">
        <v>172</v>
      </c>
      <c r="H37" s="28"/>
      <c r="I37" s="28"/>
      <c r="J37" s="27"/>
      <c r="K37" s="27"/>
      <c r="L37" s="27"/>
      <c r="M37" s="24" t="e">
        <f t="shared" si="4"/>
        <v>#DIV/0!</v>
      </c>
      <c r="N37" s="28"/>
      <c r="O37" s="27"/>
      <c r="P37" s="27"/>
      <c r="Q37" s="27"/>
      <c r="R37" s="24" t="e">
        <f t="shared" si="5"/>
        <v>#DIV/0!</v>
      </c>
      <c r="S37" s="15"/>
    </row>
    <row r="38" spans="1:28" ht="15" hidden="1" x14ac:dyDescent="0.25">
      <c r="A38" s="35" t="s">
        <v>46</v>
      </c>
      <c r="B38" s="35"/>
      <c r="C38" s="35"/>
      <c r="D38" s="35"/>
      <c r="E38" s="35"/>
      <c r="F38" s="35"/>
      <c r="G38" s="35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8" ht="15" hidden="1" x14ac:dyDescent="0.25">
      <c r="A39" s="36"/>
      <c r="B39" s="36"/>
      <c r="C39" s="36"/>
      <c r="D39" s="36"/>
      <c r="E39" s="36"/>
      <c r="F39" s="36"/>
      <c r="G39" s="36"/>
      <c r="H39"/>
      <c r="I39"/>
      <c r="J39"/>
      <c r="K39"/>
      <c r="L39"/>
      <c r="M39"/>
      <c r="N39"/>
      <c r="O39"/>
      <c r="P39"/>
      <c r="Q39"/>
      <c r="R39"/>
      <c r="S39"/>
      <c r="T39"/>
    </row>
    <row r="40" spans="1:28" ht="15" hidden="1" x14ac:dyDescent="0.25">
      <c r="A40" s="36"/>
      <c r="B40" s="36"/>
      <c r="C40" s="36"/>
      <c r="D40" s="36"/>
      <c r="E40" s="36"/>
      <c r="F40" s="36"/>
      <c r="G40" s="36"/>
      <c r="H40"/>
      <c r="I40"/>
      <c r="J40"/>
      <c r="K40"/>
      <c r="L40"/>
      <c r="M40"/>
      <c r="N40"/>
      <c r="O40"/>
      <c r="P40"/>
      <c r="Q40"/>
      <c r="R40"/>
      <c r="S40"/>
      <c r="T40"/>
    </row>
    <row r="41" spans="1:28" hidden="1" x14ac:dyDescent="0.25">
      <c r="A41" s="36"/>
      <c r="B41" s="36"/>
      <c r="C41" s="36"/>
      <c r="D41" s="36"/>
      <c r="E41" s="36"/>
      <c r="F41" s="36"/>
      <c r="G41" s="36"/>
    </row>
    <row r="42" spans="1:28" hidden="1" x14ac:dyDescent="0.25">
      <c r="A42" s="36"/>
      <c r="B42" s="36"/>
      <c r="C42" s="36"/>
      <c r="D42" s="36"/>
      <c r="E42" s="36"/>
      <c r="F42" s="36"/>
      <c r="G42" s="36"/>
    </row>
    <row r="43" spans="1:28" hidden="1" x14ac:dyDescent="0.25">
      <c r="A43" s="36"/>
      <c r="B43" s="36"/>
      <c r="C43" s="36"/>
      <c r="D43" s="36"/>
      <c r="E43" s="36"/>
      <c r="F43" s="36"/>
      <c r="G43" s="36"/>
    </row>
    <row r="44" spans="1:28" hidden="1" x14ac:dyDescent="0.25">
      <c r="A44" s="8"/>
      <c r="B44" s="8"/>
      <c r="C44" s="8"/>
      <c r="D44" s="8"/>
      <c r="E44" s="8"/>
      <c r="F44" s="8"/>
      <c r="G44" s="8"/>
    </row>
    <row r="45" spans="1:28" ht="38.25" hidden="1" x14ac:dyDescent="0.25">
      <c r="A45" s="63" t="s">
        <v>120</v>
      </c>
      <c r="B45" s="64"/>
      <c r="C45" s="64"/>
      <c r="D45" s="64"/>
      <c r="E45" s="64"/>
      <c r="F45" s="64"/>
      <c r="G45" s="65"/>
      <c r="H45" s="51">
        <v>2025</v>
      </c>
      <c r="I45" s="25" t="s">
        <v>1435</v>
      </c>
      <c r="J45" s="25" t="s">
        <v>1440</v>
      </c>
      <c r="K45" s="25" t="s">
        <v>1441</v>
      </c>
      <c r="L45" s="25" t="s">
        <v>1442</v>
      </c>
      <c r="M45" s="25" t="s">
        <v>1444</v>
      </c>
      <c r="N45" s="25" t="s">
        <v>1435</v>
      </c>
      <c r="O45" s="25" t="s">
        <v>1440</v>
      </c>
      <c r="P45" s="25" t="s">
        <v>1441</v>
      </c>
      <c r="Q45" s="25" t="s">
        <v>1442</v>
      </c>
      <c r="R45" s="25" t="s">
        <v>1445</v>
      </c>
      <c r="S45" s="54" t="s">
        <v>1447</v>
      </c>
      <c r="T45" s="44"/>
      <c r="U45" s="44"/>
      <c r="V45" s="44"/>
      <c r="W45" s="44"/>
      <c r="X45" s="44"/>
      <c r="Y45" s="44"/>
      <c r="Z45" s="44"/>
      <c r="AA45" s="44"/>
      <c r="AB45" s="44"/>
    </row>
    <row r="46" spans="1:28" ht="15" hidden="1" customHeight="1" x14ac:dyDescent="0.25">
      <c r="A46" s="58" t="s">
        <v>49</v>
      </c>
      <c r="B46" s="58"/>
      <c r="C46" s="58"/>
      <c r="D46" s="58"/>
      <c r="E46" s="58"/>
      <c r="F46" s="58"/>
      <c r="G46" s="59"/>
      <c r="H46" s="52"/>
      <c r="I46" s="25" t="s">
        <v>1436</v>
      </c>
      <c r="J46" s="25" t="s">
        <v>1437</v>
      </c>
      <c r="K46" s="25" t="s">
        <v>1438</v>
      </c>
      <c r="L46" s="25" t="s">
        <v>1439</v>
      </c>
      <c r="M46" s="25" t="s">
        <v>55</v>
      </c>
      <c r="N46" s="25" t="s">
        <v>1436</v>
      </c>
      <c r="O46" s="25" t="s">
        <v>1437</v>
      </c>
      <c r="P46" s="25" t="s">
        <v>1438</v>
      </c>
      <c r="Q46" s="25" t="s">
        <v>1439</v>
      </c>
      <c r="R46" s="25" t="s">
        <v>55</v>
      </c>
      <c r="S46" s="54"/>
      <c r="T46" s="44"/>
      <c r="U46" s="44"/>
      <c r="V46" s="44"/>
      <c r="W46" s="44"/>
      <c r="X46" s="44"/>
      <c r="Y46" s="44"/>
      <c r="Z46" s="44"/>
      <c r="AA46" s="44"/>
      <c r="AB46" s="44"/>
    </row>
    <row r="47" spans="1:28" ht="13.5" hidden="1" customHeight="1" x14ac:dyDescent="0.25">
      <c r="A47" s="71"/>
      <c r="B47" s="71"/>
      <c r="C47" s="71"/>
      <c r="D47" s="71"/>
      <c r="E47" s="71"/>
      <c r="F47" s="71"/>
      <c r="G47" s="128"/>
      <c r="H47" s="53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54"/>
      <c r="T47" s="44"/>
      <c r="U47" s="44"/>
      <c r="V47" s="44"/>
      <c r="W47" s="44"/>
      <c r="X47" s="44"/>
      <c r="Y47" s="44"/>
      <c r="Z47" s="44"/>
      <c r="AA47" s="44"/>
      <c r="AB47" s="44"/>
    </row>
    <row r="48" spans="1:28" ht="25.5" hidden="1" x14ac:dyDescent="0.25">
      <c r="A48" s="10" t="s">
        <v>1</v>
      </c>
      <c r="B48" s="10" t="s">
        <v>1428</v>
      </c>
      <c r="C48" s="23" t="s">
        <v>1446</v>
      </c>
      <c r="D48" s="10" t="s">
        <v>2</v>
      </c>
      <c r="E48" s="10" t="s">
        <v>3</v>
      </c>
      <c r="F48" s="10" t="s">
        <v>4</v>
      </c>
      <c r="G48" s="10" t="s">
        <v>5</v>
      </c>
      <c r="H48" s="23" t="s">
        <v>1433</v>
      </c>
      <c r="I48" s="23" t="s">
        <v>1434</v>
      </c>
      <c r="J48" s="23" t="s">
        <v>1434</v>
      </c>
      <c r="K48" s="23" t="s">
        <v>1434</v>
      </c>
      <c r="L48" s="23" t="s">
        <v>1434</v>
      </c>
      <c r="M48" s="23" t="s">
        <v>1443</v>
      </c>
      <c r="N48" s="23" t="s">
        <v>1448</v>
      </c>
      <c r="O48" s="23" t="s">
        <v>1448</v>
      </c>
      <c r="P48" s="23" t="s">
        <v>1448</v>
      </c>
      <c r="Q48" s="23" t="s">
        <v>1448</v>
      </c>
      <c r="R48" s="23" t="s">
        <v>1449</v>
      </c>
      <c r="S48" s="54"/>
    </row>
    <row r="49" spans="1:28" ht="51" hidden="1" x14ac:dyDescent="0.25">
      <c r="A49" s="66" t="s">
        <v>173</v>
      </c>
      <c r="B49" s="28"/>
      <c r="C49" s="28"/>
      <c r="D49" s="4" t="s">
        <v>174</v>
      </c>
      <c r="E49" s="4" t="s">
        <v>175</v>
      </c>
      <c r="F49" s="4" t="s">
        <v>176</v>
      </c>
      <c r="G49" s="4" t="s">
        <v>177</v>
      </c>
      <c r="H49" s="28"/>
      <c r="I49" s="28"/>
      <c r="J49" s="27"/>
      <c r="K49" s="27"/>
      <c r="L49" s="27"/>
      <c r="M49" s="24" t="e">
        <f>IF(SUM(I49:L49)=H49,SUM(I49:L49)*100%/H49,"Dato erroneo no cumple con la meta Absoluta (establecida)")</f>
        <v>#DIV/0!</v>
      </c>
      <c r="N49" s="27"/>
      <c r="O49" s="27"/>
      <c r="P49" s="27"/>
      <c r="Q49" s="27"/>
      <c r="R49" s="24" t="e">
        <f>SUM(N49:Q49)*100%/H49</f>
        <v>#DIV/0!</v>
      </c>
      <c r="S49" s="15"/>
    </row>
    <row r="50" spans="1:28" ht="51" hidden="1" x14ac:dyDescent="0.25">
      <c r="A50" s="67"/>
      <c r="B50" s="28"/>
      <c r="C50" s="28"/>
      <c r="D50" s="4" t="s">
        <v>178</v>
      </c>
      <c r="E50" s="4" t="s">
        <v>179</v>
      </c>
      <c r="F50" s="4" t="s">
        <v>180</v>
      </c>
      <c r="G50" s="4" t="s">
        <v>181</v>
      </c>
      <c r="H50" s="28"/>
      <c r="I50" s="28"/>
      <c r="J50" s="27"/>
      <c r="K50" s="27"/>
      <c r="L50" s="27"/>
      <c r="M50" s="24" t="e">
        <f t="shared" ref="M50:M52" si="6">IF(SUM(I50:L50)=H50,SUM(I50:L50)*100%/H50,"Dato erroneo no cumple con la meta Absoluta (establecida)")</f>
        <v>#DIV/0!</v>
      </c>
      <c r="N50" s="27"/>
      <c r="O50" s="27"/>
      <c r="P50" s="27"/>
      <c r="Q50" s="27"/>
      <c r="R50" s="24" t="e">
        <f t="shared" ref="R50:R52" si="7">SUM(N50:Q50)*100%/H50</f>
        <v>#DIV/0!</v>
      </c>
      <c r="S50" s="15"/>
    </row>
    <row r="51" spans="1:28" ht="63.75" hidden="1" x14ac:dyDescent="0.25">
      <c r="A51" s="67"/>
      <c r="B51" s="28"/>
      <c r="C51" s="28"/>
      <c r="D51" s="4" t="s">
        <v>182</v>
      </c>
      <c r="E51" s="4" t="s">
        <v>183</v>
      </c>
      <c r="F51" s="4" t="s">
        <v>184</v>
      </c>
      <c r="G51" s="4" t="s">
        <v>185</v>
      </c>
      <c r="H51" s="28"/>
      <c r="I51" s="28"/>
      <c r="J51" s="27"/>
      <c r="K51" s="27"/>
      <c r="L51" s="27"/>
      <c r="M51" s="24" t="e">
        <f t="shared" si="6"/>
        <v>#DIV/0!</v>
      </c>
      <c r="N51" s="27"/>
      <c r="O51" s="27"/>
      <c r="P51" s="27"/>
      <c r="Q51" s="27"/>
      <c r="R51" s="24" t="e">
        <f t="shared" si="7"/>
        <v>#DIV/0!</v>
      </c>
      <c r="S51" s="15"/>
    </row>
    <row r="52" spans="1:28" ht="63.75" hidden="1" x14ac:dyDescent="0.25">
      <c r="A52" s="67"/>
      <c r="B52" s="28"/>
      <c r="C52" s="28"/>
      <c r="D52" s="4" t="s">
        <v>186</v>
      </c>
      <c r="E52" s="4" t="s">
        <v>187</v>
      </c>
      <c r="F52" s="4" t="s">
        <v>188</v>
      </c>
      <c r="G52" s="4" t="s">
        <v>189</v>
      </c>
      <c r="H52" s="28"/>
      <c r="I52" s="28"/>
      <c r="J52" s="27"/>
      <c r="K52" s="27"/>
      <c r="L52" s="27"/>
      <c r="M52" s="24" t="e">
        <f t="shared" si="6"/>
        <v>#DIV/0!</v>
      </c>
      <c r="N52" s="27"/>
      <c r="O52" s="27"/>
      <c r="P52" s="27"/>
      <c r="Q52" s="27"/>
      <c r="R52" s="24" t="e">
        <f t="shared" si="7"/>
        <v>#DIV/0!</v>
      </c>
      <c r="S52" s="15"/>
    </row>
    <row r="53" spans="1:28" ht="76.5" hidden="1" x14ac:dyDescent="0.25">
      <c r="A53" s="68"/>
      <c r="B53" s="28"/>
      <c r="C53" s="28"/>
      <c r="D53" s="4" t="s">
        <v>190</v>
      </c>
      <c r="E53" s="4" t="s">
        <v>191</v>
      </c>
      <c r="F53" s="4" t="s">
        <v>192</v>
      </c>
      <c r="G53" s="4" t="s">
        <v>193</v>
      </c>
      <c r="H53" s="28"/>
      <c r="I53" s="28"/>
      <c r="J53" s="27"/>
      <c r="K53" s="27"/>
      <c r="L53" s="27"/>
      <c r="M53" s="24" t="e">
        <f t="shared" ref="M53" si="8">IF(SUM(I53:L53)=H53,SUM(I53:L53)*100%/H53,"Dato erroneo no cumple con la meta Absoluta (establecida)")</f>
        <v>#DIV/0!</v>
      </c>
      <c r="N53" s="27"/>
      <c r="O53" s="27"/>
      <c r="P53" s="27"/>
      <c r="Q53" s="27"/>
      <c r="R53" s="24" t="e">
        <f t="shared" ref="R53" si="9">SUM(N53:Q53)*100%/H53</f>
        <v>#DIV/0!</v>
      </c>
      <c r="S53" s="15"/>
    </row>
    <row r="54" spans="1:28" ht="15" hidden="1" x14ac:dyDescent="0.25">
      <c r="A54" s="35" t="s">
        <v>194</v>
      </c>
      <c r="B54" s="35"/>
      <c r="C54" s="35"/>
      <c r="D54" s="35"/>
      <c r="E54" s="35"/>
      <c r="F54" s="35"/>
      <c r="G54" s="35"/>
      <c r="H54"/>
      <c r="I54"/>
      <c r="J54"/>
      <c r="K54"/>
      <c r="L54"/>
      <c r="M54"/>
      <c r="N54"/>
      <c r="O54"/>
      <c r="P54"/>
      <c r="Q54"/>
      <c r="R54"/>
      <c r="S54"/>
      <c r="T54"/>
    </row>
    <row r="55" spans="1:28" ht="15" hidden="1" x14ac:dyDescent="0.25">
      <c r="A55" s="36"/>
      <c r="B55" s="36"/>
      <c r="C55" s="36"/>
      <c r="D55" s="36"/>
      <c r="E55" s="36"/>
      <c r="F55" s="36"/>
      <c r="G55" s="36"/>
      <c r="H55"/>
      <c r="I55"/>
      <c r="J55"/>
      <c r="K55"/>
      <c r="L55"/>
      <c r="M55"/>
      <c r="N55"/>
      <c r="O55"/>
      <c r="P55"/>
      <c r="Q55"/>
      <c r="R55"/>
      <c r="S55"/>
      <c r="T55"/>
    </row>
    <row r="56" spans="1:28" ht="15" hidden="1" x14ac:dyDescent="0.25">
      <c r="A56" s="36"/>
      <c r="B56" s="36"/>
      <c r="C56" s="36"/>
      <c r="D56" s="36"/>
      <c r="E56" s="36"/>
      <c r="F56" s="36"/>
      <c r="G56" s="36"/>
      <c r="H56"/>
      <c r="I56"/>
      <c r="J56"/>
      <c r="K56"/>
      <c r="L56"/>
      <c r="M56"/>
      <c r="N56"/>
      <c r="O56"/>
      <c r="P56"/>
      <c r="Q56"/>
      <c r="R56"/>
      <c r="S56"/>
      <c r="T56"/>
    </row>
    <row r="57" spans="1:28" ht="15" hidden="1" x14ac:dyDescent="0.25">
      <c r="A57" s="36"/>
      <c r="B57" s="36"/>
      <c r="C57" s="36"/>
      <c r="D57" s="36"/>
      <c r="E57" s="36"/>
      <c r="F57" s="36"/>
      <c r="G57" s="36"/>
      <c r="H57"/>
      <c r="I57"/>
      <c r="J57"/>
      <c r="K57"/>
      <c r="L57"/>
      <c r="M57"/>
      <c r="N57"/>
      <c r="O57"/>
      <c r="P57"/>
      <c r="Q57"/>
      <c r="R57"/>
      <c r="S57"/>
      <c r="T57"/>
    </row>
    <row r="58" spans="1:28" ht="15" hidden="1" x14ac:dyDescent="0.25">
      <c r="A58" s="36"/>
      <c r="B58" s="36"/>
      <c r="C58" s="36"/>
      <c r="D58" s="36"/>
      <c r="E58" s="36"/>
      <c r="F58" s="36"/>
      <c r="G58" s="36"/>
      <c r="H58"/>
      <c r="I58"/>
      <c r="J58"/>
      <c r="K58"/>
      <c r="L58"/>
      <c r="M58"/>
      <c r="N58"/>
      <c r="O58"/>
      <c r="P58"/>
      <c r="Q58"/>
      <c r="R58"/>
      <c r="S58"/>
      <c r="T58"/>
    </row>
    <row r="59" spans="1:28" hidden="1" x14ac:dyDescent="0.25">
      <c r="A59" s="36"/>
      <c r="B59" s="36"/>
      <c r="C59" s="36"/>
      <c r="D59" s="36"/>
      <c r="E59" s="36"/>
      <c r="F59" s="36"/>
      <c r="G59" s="36"/>
    </row>
    <row r="60" spans="1:28" hidden="1" x14ac:dyDescent="0.25">
      <c r="A60" s="8"/>
      <c r="B60" s="8"/>
      <c r="C60" s="8"/>
      <c r="D60" s="8"/>
      <c r="E60" s="8"/>
      <c r="F60" s="8"/>
      <c r="G60" s="8"/>
    </row>
    <row r="61" spans="1:28" ht="38.25" hidden="1" x14ac:dyDescent="0.25">
      <c r="A61" s="63" t="s">
        <v>120</v>
      </c>
      <c r="B61" s="64"/>
      <c r="C61" s="64"/>
      <c r="D61" s="64"/>
      <c r="E61" s="64"/>
      <c r="F61" s="64"/>
      <c r="G61" s="65"/>
      <c r="H61" s="51">
        <v>2025</v>
      </c>
      <c r="I61" s="25" t="s">
        <v>1435</v>
      </c>
      <c r="J61" s="25" t="s">
        <v>1440</v>
      </c>
      <c r="K61" s="25" t="s">
        <v>1441</v>
      </c>
      <c r="L61" s="25" t="s">
        <v>1442</v>
      </c>
      <c r="M61" s="25" t="s">
        <v>1444</v>
      </c>
      <c r="N61" s="25" t="s">
        <v>1435</v>
      </c>
      <c r="O61" s="25" t="s">
        <v>1440</v>
      </c>
      <c r="P61" s="25" t="s">
        <v>1441</v>
      </c>
      <c r="Q61" s="25" t="s">
        <v>1442</v>
      </c>
      <c r="R61" s="25" t="s">
        <v>1445</v>
      </c>
      <c r="S61" s="54" t="s">
        <v>1447</v>
      </c>
      <c r="T61" s="44"/>
      <c r="U61" s="44"/>
      <c r="V61" s="44"/>
      <c r="W61" s="44"/>
      <c r="X61" s="44"/>
      <c r="Y61" s="44"/>
      <c r="Z61" s="44"/>
      <c r="AA61" s="44"/>
      <c r="AB61" s="44"/>
    </row>
    <row r="62" spans="1:28" ht="15" hidden="1" customHeight="1" x14ac:dyDescent="0.25">
      <c r="A62" s="57" t="s">
        <v>50</v>
      </c>
      <c r="B62" s="58"/>
      <c r="C62" s="58"/>
      <c r="D62" s="58"/>
      <c r="E62" s="58"/>
      <c r="F62" s="58"/>
      <c r="G62" s="59"/>
      <c r="H62" s="52"/>
      <c r="I62" s="25" t="s">
        <v>1436</v>
      </c>
      <c r="J62" s="25" t="s">
        <v>1437</v>
      </c>
      <c r="K62" s="25" t="s">
        <v>1438</v>
      </c>
      <c r="L62" s="25" t="s">
        <v>1439</v>
      </c>
      <c r="M62" s="25" t="s">
        <v>55</v>
      </c>
      <c r="N62" s="25" t="s">
        <v>1436</v>
      </c>
      <c r="O62" s="25" t="s">
        <v>1437</v>
      </c>
      <c r="P62" s="25" t="s">
        <v>1438</v>
      </c>
      <c r="Q62" s="25" t="s">
        <v>1439</v>
      </c>
      <c r="R62" s="25" t="s">
        <v>55</v>
      </c>
      <c r="S62" s="54"/>
      <c r="T62" s="44"/>
      <c r="U62" s="44"/>
      <c r="V62" s="44"/>
      <c r="W62" s="44"/>
      <c r="X62" s="44"/>
      <c r="Y62" s="44"/>
      <c r="Z62" s="44"/>
      <c r="AA62" s="44"/>
      <c r="AB62" s="44"/>
    </row>
    <row r="63" spans="1:28" ht="13.5" hidden="1" customHeight="1" x14ac:dyDescent="0.25">
      <c r="A63" s="60"/>
      <c r="B63" s="61"/>
      <c r="C63" s="61"/>
      <c r="D63" s="61"/>
      <c r="E63" s="61"/>
      <c r="F63" s="61"/>
      <c r="G63" s="62"/>
      <c r="H63" s="53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54"/>
      <c r="T63" s="44"/>
      <c r="U63" s="44"/>
      <c r="V63" s="44"/>
      <c r="W63" s="44"/>
      <c r="X63" s="44"/>
      <c r="Y63" s="44"/>
      <c r="Z63" s="44"/>
      <c r="AA63" s="44"/>
      <c r="AB63" s="44"/>
    </row>
    <row r="64" spans="1:28" ht="25.5" hidden="1" x14ac:dyDescent="0.25">
      <c r="A64" s="10" t="s">
        <v>1</v>
      </c>
      <c r="B64" s="10" t="s">
        <v>1428</v>
      </c>
      <c r="C64" s="23" t="s">
        <v>1446</v>
      </c>
      <c r="D64" s="10" t="s">
        <v>2</v>
      </c>
      <c r="E64" s="10" t="s">
        <v>3</v>
      </c>
      <c r="F64" s="10" t="s">
        <v>4</v>
      </c>
      <c r="G64" s="10" t="s">
        <v>5</v>
      </c>
      <c r="H64" s="23" t="s">
        <v>1433</v>
      </c>
      <c r="I64" s="23" t="s">
        <v>1434</v>
      </c>
      <c r="J64" s="23" t="s">
        <v>1434</v>
      </c>
      <c r="K64" s="23" t="s">
        <v>1434</v>
      </c>
      <c r="L64" s="23" t="s">
        <v>1434</v>
      </c>
      <c r="M64" s="23" t="s">
        <v>1443</v>
      </c>
      <c r="N64" s="23" t="s">
        <v>1448</v>
      </c>
      <c r="O64" s="23" t="s">
        <v>1448</v>
      </c>
      <c r="P64" s="23" t="s">
        <v>1448</v>
      </c>
      <c r="Q64" s="23" t="s">
        <v>1448</v>
      </c>
      <c r="R64" s="23" t="s">
        <v>1449</v>
      </c>
      <c r="S64" s="54"/>
    </row>
    <row r="65" spans="1:28" ht="63.75" hidden="1" x14ac:dyDescent="0.25">
      <c r="A65" s="66" t="s">
        <v>195</v>
      </c>
      <c r="B65" s="28"/>
      <c r="C65" s="28"/>
      <c r="D65" s="4" t="s">
        <v>196</v>
      </c>
      <c r="E65" s="4" t="s">
        <v>197</v>
      </c>
      <c r="F65" s="4" t="s">
        <v>171</v>
      </c>
      <c r="G65" s="4" t="s">
        <v>198</v>
      </c>
      <c r="H65" s="28"/>
      <c r="I65" s="28"/>
      <c r="J65" s="27"/>
      <c r="K65" s="27"/>
      <c r="L65" s="27"/>
      <c r="M65" s="24" t="e">
        <f>IF(SUM(I65:L65)=H65,SUM(I65:L65)*100%/H65,"Dato erroneo no cumple con la meta Absoluta (establecida)")</f>
        <v>#DIV/0!</v>
      </c>
      <c r="N65" s="27"/>
      <c r="O65" s="27"/>
      <c r="P65" s="27"/>
      <c r="Q65" s="27"/>
      <c r="R65" s="24" t="e">
        <f>SUM(N65:Q65)*100%/H65</f>
        <v>#DIV/0!</v>
      </c>
      <c r="S65" s="15"/>
    </row>
    <row r="66" spans="1:28" ht="76.5" hidden="1" x14ac:dyDescent="0.25">
      <c r="A66" s="67"/>
      <c r="B66" s="28"/>
      <c r="C66" s="28"/>
      <c r="D66" s="4" t="s">
        <v>199</v>
      </c>
      <c r="E66" s="4" t="s">
        <v>200</v>
      </c>
      <c r="F66" s="4" t="s">
        <v>201</v>
      </c>
      <c r="G66" s="4" t="s">
        <v>202</v>
      </c>
      <c r="H66" s="28"/>
      <c r="I66" s="28"/>
      <c r="J66" s="27"/>
      <c r="K66" s="27"/>
      <c r="L66" s="27"/>
      <c r="M66" s="24" t="e">
        <f t="shared" ref="M66:M68" si="10">IF(SUM(I66:L66)=H66,SUM(I66:L66)*100%/H66,"Dato erroneo no cumple con la meta Absoluta (establecida)")</f>
        <v>#DIV/0!</v>
      </c>
      <c r="N66" s="27"/>
      <c r="O66" s="28"/>
      <c r="P66" s="27"/>
      <c r="Q66" s="27"/>
      <c r="R66" s="24" t="e">
        <f t="shared" ref="R66:R68" si="11">SUM(N66:Q66)*100%/H66</f>
        <v>#DIV/0!</v>
      </c>
      <c r="S66" s="15"/>
    </row>
    <row r="67" spans="1:28" ht="89.25" hidden="1" x14ac:dyDescent="0.25">
      <c r="A67" s="67"/>
      <c r="B67" s="28"/>
      <c r="C67" s="28"/>
      <c r="D67" s="4" t="s">
        <v>203</v>
      </c>
      <c r="E67" s="4" t="s">
        <v>204</v>
      </c>
      <c r="F67" s="4" t="s">
        <v>205</v>
      </c>
      <c r="G67" s="4" t="s">
        <v>206</v>
      </c>
      <c r="H67" s="28"/>
      <c r="I67" s="28"/>
      <c r="J67" s="27"/>
      <c r="K67" s="27"/>
      <c r="L67" s="27"/>
      <c r="M67" s="24" t="e">
        <f t="shared" si="10"/>
        <v>#DIV/0!</v>
      </c>
      <c r="N67" s="27"/>
      <c r="O67" s="27"/>
      <c r="P67" s="27"/>
      <c r="Q67" s="27"/>
      <c r="R67" s="24" t="e">
        <f t="shared" si="11"/>
        <v>#DIV/0!</v>
      </c>
      <c r="S67" s="15"/>
    </row>
    <row r="68" spans="1:28" ht="63.75" hidden="1" x14ac:dyDescent="0.25">
      <c r="A68" s="68"/>
      <c r="B68" s="28"/>
      <c r="C68" s="28"/>
      <c r="D68" s="4" t="s">
        <v>207</v>
      </c>
      <c r="E68" s="4" t="s">
        <v>208</v>
      </c>
      <c r="F68" s="4" t="s">
        <v>209</v>
      </c>
      <c r="G68" s="4" t="s">
        <v>210</v>
      </c>
      <c r="H68" s="28"/>
      <c r="I68" s="28"/>
      <c r="J68" s="27"/>
      <c r="K68" s="27"/>
      <c r="L68" s="27"/>
      <c r="M68" s="24" t="e">
        <f t="shared" si="10"/>
        <v>#DIV/0!</v>
      </c>
      <c r="N68" s="27"/>
      <c r="O68" s="27"/>
      <c r="P68" s="27"/>
      <c r="Q68" s="27"/>
      <c r="R68" s="24" t="e">
        <f t="shared" si="11"/>
        <v>#DIV/0!</v>
      </c>
      <c r="S68" s="15"/>
    </row>
    <row r="69" spans="1:28" ht="15" hidden="1" x14ac:dyDescent="0.25">
      <c r="A69" s="21" t="s">
        <v>211</v>
      </c>
      <c r="H69"/>
      <c r="I69"/>
      <c r="J69"/>
      <c r="K69"/>
      <c r="L69"/>
      <c r="M69"/>
      <c r="N69"/>
      <c r="O69"/>
      <c r="P69"/>
      <c r="Q69"/>
      <c r="R69"/>
    </row>
    <row r="70" spans="1:28" ht="15" hidden="1" x14ac:dyDescent="0.25">
      <c r="H70"/>
      <c r="I70"/>
      <c r="J70"/>
      <c r="K70"/>
      <c r="L70"/>
      <c r="M70"/>
      <c r="N70"/>
      <c r="O70"/>
      <c r="P70"/>
      <c r="Q70"/>
      <c r="R70"/>
    </row>
    <row r="71" spans="1:28" ht="15" hidden="1" x14ac:dyDescent="0.25">
      <c r="H71"/>
      <c r="I71"/>
      <c r="J71"/>
      <c r="K71"/>
      <c r="L71"/>
      <c r="M71"/>
      <c r="N71"/>
      <c r="O71"/>
      <c r="P71"/>
      <c r="Q71"/>
      <c r="R71"/>
    </row>
    <row r="72" spans="1:28" ht="15" hidden="1" x14ac:dyDescent="0.25">
      <c r="H72"/>
      <c r="I72"/>
      <c r="J72"/>
      <c r="K72"/>
      <c r="L72"/>
      <c r="M72"/>
      <c r="N72"/>
      <c r="O72"/>
      <c r="P72"/>
      <c r="Q72"/>
      <c r="R72"/>
    </row>
    <row r="73" spans="1:28" hidden="1" x14ac:dyDescent="0.25"/>
    <row r="74" spans="1:28" hidden="1" x14ac:dyDescent="0.25"/>
    <row r="75" spans="1:28" hidden="1" x14ac:dyDescent="0.25"/>
    <row r="76" spans="1:28" ht="38.25" hidden="1" x14ac:dyDescent="0.25">
      <c r="A76" s="63" t="s">
        <v>120</v>
      </c>
      <c r="B76" s="64"/>
      <c r="C76" s="64"/>
      <c r="D76" s="64"/>
      <c r="E76" s="64"/>
      <c r="F76" s="64"/>
      <c r="G76" s="65"/>
      <c r="H76" s="51">
        <v>2025</v>
      </c>
      <c r="I76" s="25" t="s">
        <v>1435</v>
      </c>
      <c r="J76" s="25" t="s">
        <v>1440</v>
      </c>
      <c r="K76" s="25" t="s">
        <v>1441</v>
      </c>
      <c r="L76" s="25" t="s">
        <v>1442</v>
      </c>
      <c r="M76" s="25" t="s">
        <v>1444</v>
      </c>
      <c r="N76" s="25" t="s">
        <v>1435</v>
      </c>
      <c r="O76" s="25" t="s">
        <v>1440</v>
      </c>
      <c r="P76" s="25" t="s">
        <v>1441</v>
      </c>
      <c r="Q76" s="25" t="s">
        <v>1442</v>
      </c>
      <c r="R76" s="25" t="s">
        <v>1445</v>
      </c>
      <c r="S76" s="54" t="s">
        <v>1447</v>
      </c>
      <c r="T76" s="44"/>
      <c r="U76" s="44"/>
      <c r="V76" s="44"/>
      <c r="W76" s="44"/>
      <c r="X76" s="44"/>
      <c r="Y76" s="44"/>
      <c r="Z76" s="44"/>
      <c r="AA76" s="44"/>
      <c r="AB76" s="44"/>
    </row>
    <row r="77" spans="1:28" ht="15" hidden="1" customHeight="1" x14ac:dyDescent="0.25">
      <c r="A77" s="57" t="s">
        <v>51</v>
      </c>
      <c r="B77" s="58"/>
      <c r="C77" s="58"/>
      <c r="D77" s="58"/>
      <c r="E77" s="58"/>
      <c r="F77" s="58"/>
      <c r="G77" s="59"/>
      <c r="H77" s="52"/>
      <c r="I77" s="25" t="s">
        <v>1436</v>
      </c>
      <c r="J77" s="25" t="s">
        <v>1437</v>
      </c>
      <c r="K77" s="25" t="s">
        <v>1438</v>
      </c>
      <c r="L77" s="25" t="s">
        <v>1439</v>
      </c>
      <c r="M77" s="25" t="s">
        <v>55</v>
      </c>
      <c r="N77" s="25" t="s">
        <v>1436</v>
      </c>
      <c r="O77" s="25" t="s">
        <v>1437</v>
      </c>
      <c r="P77" s="25" t="s">
        <v>1438</v>
      </c>
      <c r="Q77" s="25" t="s">
        <v>1439</v>
      </c>
      <c r="R77" s="25" t="s">
        <v>55</v>
      </c>
      <c r="S77" s="54"/>
      <c r="T77" s="44"/>
      <c r="U77" s="44"/>
      <c r="V77" s="44"/>
      <c r="W77" s="44"/>
      <c r="X77" s="44"/>
      <c r="Y77" s="44"/>
      <c r="Z77" s="44"/>
      <c r="AA77" s="44"/>
      <c r="AB77" s="44"/>
    </row>
    <row r="78" spans="1:28" ht="13.5" hidden="1" customHeight="1" x14ac:dyDescent="0.25">
      <c r="A78" s="60"/>
      <c r="B78" s="61"/>
      <c r="C78" s="61"/>
      <c r="D78" s="61"/>
      <c r="E78" s="61"/>
      <c r="F78" s="61"/>
      <c r="G78" s="62"/>
      <c r="H78" s="53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54"/>
      <c r="T78" s="44"/>
      <c r="U78" s="44"/>
      <c r="V78" s="44"/>
      <c r="W78" s="44"/>
      <c r="X78" s="44"/>
      <c r="Y78" s="44"/>
      <c r="Z78" s="44"/>
      <c r="AA78" s="44"/>
      <c r="AB78" s="44"/>
    </row>
    <row r="79" spans="1:28" ht="25.5" hidden="1" x14ac:dyDescent="0.25">
      <c r="A79" s="10" t="s">
        <v>1</v>
      </c>
      <c r="B79" s="10" t="s">
        <v>1428</v>
      </c>
      <c r="C79" s="23" t="s">
        <v>1446</v>
      </c>
      <c r="D79" s="10" t="s">
        <v>2</v>
      </c>
      <c r="E79" s="10" t="s">
        <v>3</v>
      </c>
      <c r="F79" s="10" t="s">
        <v>4</v>
      </c>
      <c r="G79" s="10" t="s">
        <v>5</v>
      </c>
      <c r="H79" s="23" t="s">
        <v>1433</v>
      </c>
      <c r="I79" s="23" t="s">
        <v>1434</v>
      </c>
      <c r="J79" s="23" t="s">
        <v>1434</v>
      </c>
      <c r="K79" s="23" t="s">
        <v>1434</v>
      </c>
      <c r="L79" s="23" t="s">
        <v>1434</v>
      </c>
      <c r="M79" s="23" t="s">
        <v>1443</v>
      </c>
      <c r="N79" s="23" t="s">
        <v>1448</v>
      </c>
      <c r="O79" s="23" t="s">
        <v>1448</v>
      </c>
      <c r="P79" s="23" t="s">
        <v>1448</v>
      </c>
      <c r="Q79" s="23" t="s">
        <v>1448</v>
      </c>
      <c r="R79" s="23" t="s">
        <v>1449</v>
      </c>
      <c r="S79" s="54"/>
    </row>
    <row r="80" spans="1:28" ht="64.5" hidden="1" customHeight="1" x14ac:dyDescent="0.25">
      <c r="A80" s="66" t="s">
        <v>212</v>
      </c>
      <c r="B80" s="28"/>
      <c r="C80" s="28"/>
      <c r="D80" s="4" t="s">
        <v>213</v>
      </c>
      <c r="E80" s="4" t="s">
        <v>214</v>
      </c>
      <c r="F80" s="4" t="s">
        <v>215</v>
      </c>
      <c r="G80" s="4" t="s">
        <v>216</v>
      </c>
      <c r="H80" s="28"/>
      <c r="I80" s="28"/>
      <c r="J80" s="27"/>
      <c r="K80" s="27"/>
      <c r="L80" s="27"/>
      <c r="M80" s="24" t="e">
        <f>IF(SUM(I80:L80)=H80,SUM(I80:L80)*100%/H80,"Dato erroneo no cumple con la meta Absoluta (establecida)")</f>
        <v>#DIV/0!</v>
      </c>
      <c r="N80" s="27"/>
      <c r="O80" s="27"/>
      <c r="P80" s="27"/>
      <c r="Q80" s="27"/>
      <c r="R80" s="24" t="e">
        <f>SUM(N80:Q80)*100%/H80</f>
        <v>#DIV/0!</v>
      </c>
      <c r="S80" s="15"/>
    </row>
    <row r="81" spans="1:28" ht="102.75" hidden="1" customHeight="1" x14ac:dyDescent="0.25">
      <c r="A81" s="67"/>
      <c r="B81" s="28"/>
      <c r="C81" s="28"/>
      <c r="D81" s="4" t="s">
        <v>217</v>
      </c>
      <c r="E81" s="4" t="s">
        <v>218</v>
      </c>
      <c r="F81" s="4" t="s">
        <v>219</v>
      </c>
      <c r="G81" s="4" t="s">
        <v>220</v>
      </c>
      <c r="H81" s="28"/>
      <c r="I81" s="28"/>
      <c r="J81" s="27"/>
      <c r="K81" s="27"/>
      <c r="L81" s="27"/>
      <c r="M81" s="24" t="e">
        <f t="shared" ref="M81:M83" si="12">IF(SUM(I81:L81)=H81,SUM(I81:L81)*100%/H81,"Dato erroneo no cumple con la meta Absoluta (establecida)")</f>
        <v>#DIV/0!</v>
      </c>
      <c r="N81" s="27"/>
      <c r="O81" s="27"/>
      <c r="P81" s="27"/>
      <c r="Q81" s="27"/>
      <c r="R81" s="24" t="e">
        <f t="shared" ref="R81:R83" si="13">SUM(N81:Q81)*100%/H81</f>
        <v>#DIV/0!</v>
      </c>
      <c r="S81" s="15"/>
    </row>
    <row r="82" spans="1:28" ht="63.75" hidden="1" x14ac:dyDescent="0.25">
      <c r="A82" s="67"/>
      <c r="B82" s="28"/>
      <c r="C82" s="28"/>
      <c r="D82" s="4" t="s">
        <v>221</v>
      </c>
      <c r="E82" s="4" t="s">
        <v>222</v>
      </c>
      <c r="F82" s="4" t="s">
        <v>223</v>
      </c>
      <c r="G82" s="4" t="s">
        <v>224</v>
      </c>
      <c r="H82" s="28"/>
      <c r="I82" s="28"/>
      <c r="J82" s="27"/>
      <c r="K82" s="27"/>
      <c r="L82" s="27"/>
      <c r="M82" s="24" t="e">
        <f t="shared" si="12"/>
        <v>#DIV/0!</v>
      </c>
      <c r="N82" s="27"/>
      <c r="O82" s="27"/>
      <c r="P82" s="27"/>
      <c r="Q82" s="27"/>
      <c r="R82" s="24" t="e">
        <f t="shared" si="13"/>
        <v>#DIV/0!</v>
      </c>
      <c r="S82" s="15"/>
    </row>
    <row r="83" spans="1:28" ht="77.25" hidden="1" customHeight="1" x14ac:dyDescent="0.25">
      <c r="A83" s="67"/>
      <c r="B83" s="28"/>
      <c r="C83" s="28"/>
      <c r="D83" s="4" t="s">
        <v>225</v>
      </c>
      <c r="E83" s="4" t="s">
        <v>226</v>
      </c>
      <c r="F83" s="4" t="s">
        <v>227</v>
      </c>
      <c r="G83" s="4" t="s">
        <v>228</v>
      </c>
      <c r="H83" s="28"/>
      <c r="I83" s="28"/>
      <c r="J83" s="27"/>
      <c r="K83" s="27"/>
      <c r="L83" s="27"/>
      <c r="M83" s="24" t="e">
        <f t="shared" si="12"/>
        <v>#DIV/0!</v>
      </c>
      <c r="N83" s="27"/>
      <c r="O83" s="27"/>
      <c r="P83" s="27"/>
      <c r="Q83" s="27"/>
      <c r="R83" s="24" t="e">
        <f t="shared" si="13"/>
        <v>#DIV/0!</v>
      </c>
      <c r="S83" s="15"/>
    </row>
    <row r="84" spans="1:28" ht="63.75" hidden="1" x14ac:dyDescent="0.25">
      <c r="A84" s="68"/>
      <c r="B84" s="28"/>
      <c r="C84" s="28"/>
      <c r="D84" s="4" t="s">
        <v>229</v>
      </c>
      <c r="E84" s="4" t="s">
        <v>230</v>
      </c>
      <c r="F84" s="4" t="s">
        <v>231</v>
      </c>
      <c r="G84" s="4" t="s">
        <v>232</v>
      </c>
      <c r="H84" s="28"/>
      <c r="I84" s="28"/>
      <c r="J84" s="27"/>
      <c r="K84" s="27"/>
      <c r="L84" s="27"/>
      <c r="M84" s="24" t="e">
        <f t="shared" ref="M84" si="14">IF(SUM(I84:L84)=H84,SUM(I84:L84)*100%/H84,"Dato erroneo no cumple con la meta Absoluta (establecida)")</f>
        <v>#DIV/0!</v>
      </c>
      <c r="N84" s="27"/>
      <c r="O84" s="27"/>
      <c r="P84" s="27"/>
      <c r="Q84" s="27"/>
      <c r="R84" s="24" t="e">
        <f t="shared" ref="R84" si="15">SUM(N84:Q84)*100%/H84</f>
        <v>#DIV/0!</v>
      </c>
      <c r="S84" s="15"/>
    </row>
    <row r="85" spans="1:28" ht="15" hidden="1" x14ac:dyDescent="0.25">
      <c r="A85" s="35" t="s">
        <v>233</v>
      </c>
      <c r="B85" s="35"/>
      <c r="C85" s="35"/>
      <c r="D85" s="35"/>
      <c r="E85" s="35"/>
      <c r="F85" s="35"/>
      <c r="G85" s="35"/>
      <c r="H85"/>
      <c r="I85"/>
      <c r="J85"/>
      <c r="K85"/>
      <c r="L85"/>
      <c r="M85"/>
      <c r="N85"/>
      <c r="O85"/>
      <c r="P85"/>
      <c r="Q85"/>
      <c r="R85"/>
      <c r="S85"/>
      <c r="T85"/>
    </row>
    <row r="86" spans="1:28" ht="15" hidden="1" x14ac:dyDescent="0.25">
      <c r="A86" s="36"/>
      <c r="B86" s="36"/>
      <c r="C86" s="36"/>
      <c r="D86" s="36"/>
      <c r="E86" s="36"/>
      <c r="F86" s="36"/>
      <c r="G86" s="36"/>
      <c r="H86"/>
      <c r="I86"/>
      <c r="J86"/>
      <c r="K86"/>
      <c r="L86"/>
      <c r="M86"/>
      <c r="N86"/>
      <c r="O86"/>
      <c r="P86"/>
      <c r="Q86"/>
      <c r="R86"/>
      <c r="S86"/>
      <c r="T86"/>
    </row>
    <row r="87" spans="1:28" ht="15" hidden="1" x14ac:dyDescent="0.25">
      <c r="A87" s="36"/>
      <c r="B87" s="36"/>
      <c r="C87" s="36"/>
      <c r="D87" s="36"/>
      <c r="E87" s="36"/>
      <c r="F87" s="36"/>
      <c r="G87" s="36"/>
      <c r="H87"/>
      <c r="I87"/>
      <c r="J87"/>
      <c r="K87"/>
      <c r="L87"/>
      <c r="M87"/>
      <c r="N87"/>
      <c r="O87"/>
      <c r="P87"/>
      <c r="Q87"/>
      <c r="R87"/>
      <c r="S87"/>
      <c r="T87"/>
    </row>
    <row r="88" spans="1:28" ht="15" hidden="1" x14ac:dyDescent="0.25">
      <c r="A88" s="36"/>
      <c r="B88" s="36"/>
      <c r="C88" s="36"/>
      <c r="D88" s="36"/>
      <c r="E88" s="36"/>
      <c r="F88" s="36"/>
      <c r="G88" s="36"/>
      <c r="H88"/>
      <c r="I88"/>
      <c r="J88"/>
      <c r="K88"/>
      <c r="L88"/>
      <c r="M88"/>
      <c r="N88"/>
      <c r="O88"/>
      <c r="P88"/>
      <c r="Q88"/>
      <c r="R88"/>
      <c r="S88"/>
      <c r="T88"/>
    </row>
    <row r="89" spans="1:28" hidden="1" x14ac:dyDescent="0.25">
      <c r="A89" s="36"/>
      <c r="B89" s="36"/>
      <c r="C89" s="36"/>
      <c r="D89" s="36"/>
      <c r="E89" s="36"/>
      <c r="F89" s="36"/>
      <c r="G89" s="36"/>
    </row>
    <row r="90" spans="1:28" hidden="1" x14ac:dyDescent="0.25">
      <c r="A90" s="36"/>
      <c r="B90" s="36"/>
      <c r="C90" s="36"/>
      <c r="D90" s="36"/>
      <c r="E90" s="36"/>
      <c r="F90" s="36"/>
      <c r="G90" s="36"/>
    </row>
    <row r="91" spans="1:28" hidden="1" x14ac:dyDescent="0.25">
      <c r="A91" s="8"/>
      <c r="B91" s="8"/>
      <c r="C91" s="8"/>
      <c r="D91" s="8"/>
      <c r="E91" s="8"/>
      <c r="F91" s="8"/>
      <c r="G91" s="8"/>
    </row>
    <row r="92" spans="1:28" ht="38.25" hidden="1" x14ac:dyDescent="0.25">
      <c r="A92" s="63" t="s">
        <v>120</v>
      </c>
      <c r="B92" s="64"/>
      <c r="C92" s="64"/>
      <c r="D92" s="64"/>
      <c r="E92" s="64"/>
      <c r="F92" s="64"/>
      <c r="G92" s="65"/>
      <c r="H92" s="51">
        <v>2025</v>
      </c>
      <c r="I92" s="25" t="s">
        <v>1435</v>
      </c>
      <c r="J92" s="25" t="s">
        <v>1440</v>
      </c>
      <c r="K92" s="25" t="s">
        <v>1441</v>
      </c>
      <c r="L92" s="25" t="s">
        <v>1442</v>
      </c>
      <c r="M92" s="25" t="s">
        <v>1444</v>
      </c>
      <c r="N92" s="25" t="s">
        <v>1435</v>
      </c>
      <c r="O92" s="25" t="s">
        <v>1440</v>
      </c>
      <c r="P92" s="25" t="s">
        <v>1441</v>
      </c>
      <c r="Q92" s="25" t="s">
        <v>1442</v>
      </c>
      <c r="R92" s="25" t="s">
        <v>1445</v>
      </c>
      <c r="S92" s="54" t="s">
        <v>1447</v>
      </c>
      <c r="T92" s="44"/>
      <c r="U92" s="44"/>
      <c r="V92" s="44"/>
      <c r="W92" s="44"/>
      <c r="X92" s="44"/>
      <c r="Y92" s="44"/>
      <c r="Z92" s="44"/>
      <c r="AA92" s="44"/>
      <c r="AB92" s="44"/>
    </row>
    <row r="93" spans="1:28" ht="15" hidden="1" customHeight="1" x14ac:dyDescent="0.25">
      <c r="A93" s="57" t="s">
        <v>52</v>
      </c>
      <c r="B93" s="58"/>
      <c r="C93" s="58"/>
      <c r="D93" s="58"/>
      <c r="E93" s="58"/>
      <c r="F93" s="58"/>
      <c r="G93" s="59"/>
      <c r="H93" s="52"/>
      <c r="I93" s="25" t="s">
        <v>1436</v>
      </c>
      <c r="J93" s="25" t="s">
        <v>1437</v>
      </c>
      <c r="K93" s="25" t="s">
        <v>1438</v>
      </c>
      <c r="L93" s="25" t="s">
        <v>1439</v>
      </c>
      <c r="M93" s="25" t="s">
        <v>55</v>
      </c>
      <c r="N93" s="25" t="s">
        <v>1436</v>
      </c>
      <c r="O93" s="25" t="s">
        <v>1437</v>
      </c>
      <c r="P93" s="25" t="s">
        <v>1438</v>
      </c>
      <c r="Q93" s="25" t="s">
        <v>1439</v>
      </c>
      <c r="R93" s="25" t="s">
        <v>55</v>
      </c>
      <c r="S93" s="54"/>
      <c r="T93" s="44"/>
      <c r="U93" s="44"/>
      <c r="V93" s="44"/>
      <c r="W93" s="44"/>
      <c r="X93" s="44"/>
      <c r="Y93" s="44"/>
      <c r="Z93" s="44"/>
      <c r="AA93" s="44"/>
      <c r="AB93" s="44"/>
    </row>
    <row r="94" spans="1:28" ht="13.5" hidden="1" customHeight="1" x14ac:dyDescent="0.25">
      <c r="A94" s="60"/>
      <c r="B94" s="61"/>
      <c r="C94" s="61"/>
      <c r="D94" s="61"/>
      <c r="E94" s="61"/>
      <c r="F94" s="61"/>
      <c r="G94" s="62"/>
      <c r="H94" s="53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54"/>
      <c r="T94" s="44"/>
      <c r="U94" s="44"/>
      <c r="V94" s="44"/>
      <c r="W94" s="44"/>
      <c r="X94" s="44"/>
      <c r="Y94" s="44"/>
      <c r="Z94" s="44"/>
      <c r="AA94" s="44"/>
      <c r="AB94" s="44"/>
    </row>
    <row r="95" spans="1:28" ht="25.5" hidden="1" x14ac:dyDescent="0.25">
      <c r="A95" s="10" t="s">
        <v>1</v>
      </c>
      <c r="B95" s="10" t="s">
        <v>1428</v>
      </c>
      <c r="C95" s="23" t="s">
        <v>1446</v>
      </c>
      <c r="D95" s="10" t="s">
        <v>2</v>
      </c>
      <c r="E95" s="10" t="s">
        <v>3</v>
      </c>
      <c r="F95" s="10" t="s">
        <v>4</v>
      </c>
      <c r="G95" s="10" t="s">
        <v>5</v>
      </c>
      <c r="H95" s="23" t="s">
        <v>1433</v>
      </c>
      <c r="I95" s="23" t="s">
        <v>1434</v>
      </c>
      <c r="J95" s="23" t="s">
        <v>1434</v>
      </c>
      <c r="K95" s="23" t="s">
        <v>1434</v>
      </c>
      <c r="L95" s="23" t="s">
        <v>1434</v>
      </c>
      <c r="M95" s="23" t="s">
        <v>1443</v>
      </c>
      <c r="N95" s="23" t="s">
        <v>1448</v>
      </c>
      <c r="O95" s="23" t="s">
        <v>1448</v>
      </c>
      <c r="P95" s="23" t="s">
        <v>1448</v>
      </c>
      <c r="Q95" s="23" t="s">
        <v>1448</v>
      </c>
      <c r="R95" s="23" t="s">
        <v>1449</v>
      </c>
      <c r="S95" s="54"/>
    </row>
    <row r="96" spans="1:28" ht="51" hidden="1" x14ac:dyDescent="0.25">
      <c r="A96" s="66" t="s">
        <v>234</v>
      </c>
      <c r="B96" s="28"/>
      <c r="C96" s="28"/>
      <c r="D96" s="4" t="s">
        <v>235</v>
      </c>
      <c r="E96" s="4" t="s">
        <v>236</v>
      </c>
      <c r="F96" s="4" t="s">
        <v>237</v>
      </c>
      <c r="G96" s="4" t="s">
        <v>238</v>
      </c>
      <c r="H96" s="28"/>
      <c r="I96" s="28"/>
      <c r="J96" s="27"/>
      <c r="K96" s="27"/>
      <c r="L96" s="27"/>
      <c r="M96" s="24" t="e">
        <f>IF(SUM(I96:L96)=H96,SUM(I96:L96)*100%/H96,"Dato erroneo no cumple con la meta Absoluta (establecida)")</f>
        <v>#DIV/0!</v>
      </c>
      <c r="N96" s="27"/>
      <c r="O96" s="27"/>
      <c r="P96" s="27"/>
      <c r="Q96" s="27"/>
      <c r="R96" s="24" t="e">
        <f>SUM(N96:Q96)*100%/H96</f>
        <v>#DIV/0!</v>
      </c>
      <c r="S96" s="15"/>
    </row>
    <row r="97" spans="1:28" ht="76.5" hidden="1" x14ac:dyDescent="0.25">
      <c r="A97" s="67"/>
      <c r="B97" s="28"/>
      <c r="C97" s="28"/>
      <c r="D97" s="4" t="s">
        <v>239</v>
      </c>
      <c r="E97" s="4" t="s">
        <v>240</v>
      </c>
      <c r="F97" s="4" t="s">
        <v>241</v>
      </c>
      <c r="G97" s="4" t="s">
        <v>242</v>
      </c>
      <c r="H97" s="28"/>
      <c r="I97" s="28"/>
      <c r="J97" s="27"/>
      <c r="K97" s="27"/>
      <c r="L97" s="27"/>
      <c r="M97" s="24" t="e">
        <f t="shared" ref="M97:M100" si="16">IF(SUM(I97:L97)=H97,SUM(I97:L97)*100%/H97,"Dato erroneo no cumple con la meta Absoluta (establecida)")</f>
        <v>#DIV/0!</v>
      </c>
      <c r="N97" s="27"/>
      <c r="O97" s="27"/>
      <c r="P97" s="27"/>
      <c r="Q97" s="27"/>
      <c r="R97" s="24" t="e">
        <f t="shared" ref="R97:R100" si="17">SUM(N97:Q97)*100%/H97</f>
        <v>#DIV/0!</v>
      </c>
      <c r="S97" s="15"/>
    </row>
    <row r="98" spans="1:28" ht="63.75" hidden="1" x14ac:dyDescent="0.25">
      <c r="A98" s="67"/>
      <c r="B98" s="28"/>
      <c r="C98" s="28"/>
      <c r="D98" s="4" t="s">
        <v>243</v>
      </c>
      <c r="E98" s="4" t="s">
        <v>244</v>
      </c>
      <c r="F98" s="4" t="s">
        <v>245</v>
      </c>
      <c r="G98" s="4" t="s">
        <v>246</v>
      </c>
      <c r="H98" s="28"/>
      <c r="I98" s="28"/>
      <c r="J98" s="27"/>
      <c r="K98" s="27"/>
      <c r="L98" s="27"/>
      <c r="M98" s="24" t="e">
        <f t="shared" si="16"/>
        <v>#DIV/0!</v>
      </c>
      <c r="N98" s="27"/>
      <c r="O98" s="27"/>
      <c r="P98" s="27"/>
      <c r="Q98" s="27"/>
      <c r="R98" s="24" t="e">
        <f t="shared" si="17"/>
        <v>#DIV/0!</v>
      </c>
      <c r="S98" s="15"/>
    </row>
    <row r="99" spans="1:28" ht="76.5" hidden="1" x14ac:dyDescent="0.25">
      <c r="A99" s="67"/>
      <c r="B99" s="28"/>
      <c r="C99" s="28"/>
      <c r="D99" s="4" t="s">
        <v>247</v>
      </c>
      <c r="E99" s="4" t="s">
        <v>248</v>
      </c>
      <c r="F99" s="4" t="s">
        <v>249</v>
      </c>
      <c r="G99" s="4" t="s">
        <v>250</v>
      </c>
      <c r="H99" s="28"/>
      <c r="I99" s="28"/>
      <c r="J99" s="27"/>
      <c r="K99" s="27"/>
      <c r="L99" s="27"/>
      <c r="M99" s="24" t="e">
        <f t="shared" si="16"/>
        <v>#DIV/0!</v>
      </c>
      <c r="N99" s="27"/>
      <c r="O99" s="27"/>
      <c r="P99" s="27"/>
      <c r="Q99" s="27"/>
      <c r="R99" s="24" t="e">
        <f t="shared" si="17"/>
        <v>#DIV/0!</v>
      </c>
      <c r="S99" s="15"/>
    </row>
    <row r="100" spans="1:28" ht="63.75" hidden="1" x14ac:dyDescent="0.25">
      <c r="A100" s="67"/>
      <c r="B100" s="28"/>
      <c r="C100" s="28"/>
      <c r="D100" s="4" t="s">
        <v>251</v>
      </c>
      <c r="E100" s="4" t="s">
        <v>252</v>
      </c>
      <c r="F100" s="4" t="s">
        <v>253</v>
      </c>
      <c r="G100" s="4" t="s">
        <v>254</v>
      </c>
      <c r="H100" s="28"/>
      <c r="I100" s="28"/>
      <c r="J100" s="27"/>
      <c r="K100" s="27"/>
      <c r="L100" s="27"/>
      <c r="M100" s="24" t="e">
        <f t="shared" si="16"/>
        <v>#DIV/0!</v>
      </c>
      <c r="N100" s="27"/>
      <c r="O100" s="27"/>
      <c r="P100" s="27"/>
      <c r="Q100" s="27"/>
      <c r="R100" s="24" t="e">
        <f t="shared" si="17"/>
        <v>#DIV/0!</v>
      </c>
      <c r="S100" s="15"/>
    </row>
    <row r="101" spans="1:28" ht="114.75" hidden="1" x14ac:dyDescent="0.25">
      <c r="A101" s="68"/>
      <c r="B101" s="28"/>
      <c r="C101" s="28"/>
      <c r="D101" s="4" t="s">
        <v>255</v>
      </c>
      <c r="E101" s="4" t="s">
        <v>256</v>
      </c>
      <c r="F101" s="4" t="s">
        <v>257</v>
      </c>
      <c r="G101" s="4" t="s">
        <v>258</v>
      </c>
      <c r="H101" s="28"/>
      <c r="I101" s="28"/>
      <c r="J101" s="27"/>
      <c r="K101" s="27"/>
      <c r="L101" s="27"/>
      <c r="M101" s="24" t="e">
        <f t="shared" ref="M101" si="18">IF(SUM(I101:L101)=H101,SUM(I101:L101)*100%/H101,"Dato erroneo no cumple con la meta Absoluta (establecida)")</f>
        <v>#DIV/0!</v>
      </c>
      <c r="N101" s="27"/>
      <c r="O101" s="27"/>
      <c r="P101" s="27"/>
      <c r="Q101" s="27"/>
      <c r="R101" s="24" t="e">
        <f t="shared" ref="R101" si="19">SUM(N101:Q101)*100%/H101</f>
        <v>#DIV/0!</v>
      </c>
      <c r="S101" s="15"/>
    </row>
    <row r="102" spans="1:28" ht="15" hidden="1" x14ac:dyDescent="0.25">
      <c r="A102" s="35" t="s">
        <v>259</v>
      </c>
      <c r="B102" s="35"/>
      <c r="C102" s="35"/>
      <c r="D102" s="35"/>
      <c r="E102" s="35"/>
      <c r="F102" s="35"/>
      <c r="G102" s="35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</row>
    <row r="103" spans="1:28" ht="15" hidden="1" x14ac:dyDescent="0.25">
      <c r="A103" s="36"/>
      <c r="B103" s="36"/>
      <c r="C103" s="36"/>
      <c r="D103" s="36"/>
      <c r="E103" s="36"/>
      <c r="F103" s="36"/>
      <c r="G103" s="36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</row>
    <row r="104" spans="1:28" ht="15" hidden="1" x14ac:dyDescent="0.25">
      <c r="A104" s="36"/>
      <c r="B104" s="36"/>
      <c r="C104" s="36"/>
      <c r="D104" s="36"/>
      <c r="E104" s="36"/>
      <c r="F104" s="36"/>
      <c r="G104" s="36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</row>
    <row r="105" spans="1:28" hidden="1" x14ac:dyDescent="0.25">
      <c r="A105" s="36"/>
      <c r="B105" s="36"/>
      <c r="C105" s="36"/>
      <c r="D105" s="36"/>
      <c r="E105" s="36"/>
      <c r="F105" s="36"/>
      <c r="G105" s="36"/>
    </row>
    <row r="106" spans="1:28" hidden="1" x14ac:dyDescent="0.25">
      <c r="A106" s="36"/>
      <c r="B106" s="36"/>
      <c r="C106" s="36"/>
      <c r="D106" s="36"/>
      <c r="E106" s="36"/>
      <c r="F106" s="36"/>
      <c r="G106" s="36"/>
    </row>
    <row r="107" spans="1:28" hidden="1" x14ac:dyDescent="0.25">
      <c r="A107" s="36"/>
      <c r="B107" s="36"/>
      <c r="C107" s="36"/>
      <c r="D107" s="36"/>
      <c r="E107" s="36"/>
      <c r="F107" s="36"/>
      <c r="G107" s="36"/>
    </row>
    <row r="108" spans="1:28" hidden="1" x14ac:dyDescent="0.25"/>
    <row r="109" spans="1:28" ht="38.25" hidden="1" x14ac:dyDescent="0.25">
      <c r="A109" s="63" t="s">
        <v>120</v>
      </c>
      <c r="B109" s="64"/>
      <c r="C109" s="64"/>
      <c r="D109" s="64"/>
      <c r="E109" s="64"/>
      <c r="F109" s="64"/>
      <c r="G109" s="65"/>
      <c r="H109" s="51">
        <v>2025</v>
      </c>
      <c r="I109" s="25" t="s">
        <v>1435</v>
      </c>
      <c r="J109" s="25" t="s">
        <v>1440</v>
      </c>
      <c r="K109" s="25" t="s">
        <v>1441</v>
      </c>
      <c r="L109" s="25" t="s">
        <v>1442</v>
      </c>
      <c r="M109" s="25" t="s">
        <v>1444</v>
      </c>
      <c r="N109" s="25" t="s">
        <v>1435</v>
      </c>
      <c r="O109" s="25" t="s">
        <v>1440</v>
      </c>
      <c r="P109" s="25" t="s">
        <v>1441</v>
      </c>
      <c r="Q109" s="25" t="s">
        <v>1442</v>
      </c>
      <c r="R109" s="25" t="s">
        <v>1445</v>
      </c>
      <c r="S109" s="54" t="s">
        <v>1447</v>
      </c>
      <c r="T109" s="44"/>
      <c r="U109" s="44"/>
      <c r="V109" s="44"/>
      <c r="W109" s="44"/>
      <c r="X109" s="44"/>
      <c r="Y109" s="44"/>
      <c r="Z109" s="44"/>
      <c r="AA109" s="44"/>
      <c r="AB109" s="44"/>
    </row>
    <row r="110" spans="1:28" ht="15" hidden="1" customHeight="1" x14ac:dyDescent="0.25">
      <c r="A110" s="57" t="s">
        <v>54</v>
      </c>
      <c r="B110" s="58"/>
      <c r="C110" s="58"/>
      <c r="D110" s="58"/>
      <c r="E110" s="58"/>
      <c r="F110" s="58"/>
      <c r="G110" s="59"/>
      <c r="H110" s="52"/>
      <c r="I110" s="25" t="s">
        <v>1436</v>
      </c>
      <c r="J110" s="25" t="s">
        <v>1437</v>
      </c>
      <c r="K110" s="25" t="s">
        <v>1438</v>
      </c>
      <c r="L110" s="25" t="s">
        <v>1439</v>
      </c>
      <c r="M110" s="25" t="s">
        <v>55</v>
      </c>
      <c r="N110" s="25" t="s">
        <v>1436</v>
      </c>
      <c r="O110" s="25" t="s">
        <v>1437</v>
      </c>
      <c r="P110" s="25" t="s">
        <v>1438</v>
      </c>
      <c r="Q110" s="25" t="s">
        <v>1439</v>
      </c>
      <c r="R110" s="25" t="s">
        <v>55</v>
      </c>
      <c r="S110" s="54"/>
      <c r="T110" s="44"/>
      <c r="U110" s="44"/>
      <c r="V110" s="44"/>
      <c r="W110" s="44"/>
      <c r="X110" s="44"/>
      <c r="Y110" s="44"/>
      <c r="Z110" s="44"/>
      <c r="AA110" s="44"/>
      <c r="AB110" s="44"/>
    </row>
    <row r="111" spans="1:28" ht="13.5" hidden="1" customHeight="1" x14ac:dyDescent="0.25">
      <c r="A111" s="60"/>
      <c r="B111" s="61"/>
      <c r="C111" s="61"/>
      <c r="D111" s="61"/>
      <c r="E111" s="61"/>
      <c r="F111" s="61"/>
      <c r="G111" s="62"/>
      <c r="H111" s="53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54"/>
      <c r="T111" s="44"/>
      <c r="U111" s="44"/>
      <c r="V111" s="44"/>
      <c r="W111" s="44"/>
      <c r="X111" s="44"/>
      <c r="Y111" s="44"/>
      <c r="Z111" s="44"/>
      <c r="AA111" s="44"/>
      <c r="AB111" s="44"/>
    </row>
    <row r="112" spans="1:28" ht="25.5" hidden="1" x14ac:dyDescent="0.25">
      <c r="A112" s="10" t="s">
        <v>1</v>
      </c>
      <c r="B112" s="10" t="s">
        <v>1428</v>
      </c>
      <c r="C112" s="23" t="s">
        <v>1446</v>
      </c>
      <c r="D112" s="10" t="s">
        <v>2</v>
      </c>
      <c r="E112" s="10" t="s">
        <v>3</v>
      </c>
      <c r="F112" s="10" t="s">
        <v>4</v>
      </c>
      <c r="G112" s="10" t="s">
        <v>5</v>
      </c>
      <c r="H112" s="23" t="s">
        <v>1433</v>
      </c>
      <c r="I112" s="23" t="s">
        <v>1434</v>
      </c>
      <c r="J112" s="23" t="s">
        <v>1434</v>
      </c>
      <c r="K112" s="23" t="s">
        <v>1434</v>
      </c>
      <c r="L112" s="23" t="s">
        <v>1434</v>
      </c>
      <c r="M112" s="23" t="s">
        <v>1443</v>
      </c>
      <c r="N112" s="23" t="s">
        <v>1448</v>
      </c>
      <c r="O112" s="23" t="s">
        <v>1448</v>
      </c>
      <c r="P112" s="23" t="s">
        <v>1448</v>
      </c>
      <c r="Q112" s="23" t="s">
        <v>1448</v>
      </c>
      <c r="R112" s="23" t="s">
        <v>1449</v>
      </c>
      <c r="S112" s="54"/>
    </row>
    <row r="113" spans="1:28" ht="51" hidden="1" x14ac:dyDescent="0.25">
      <c r="A113" s="66" t="s">
        <v>1421</v>
      </c>
      <c r="B113" s="28"/>
      <c r="C113" s="28"/>
      <c r="D113" s="4" t="s">
        <v>260</v>
      </c>
      <c r="E113" s="4" t="s">
        <v>261</v>
      </c>
      <c r="F113" s="4" t="s">
        <v>262</v>
      </c>
      <c r="G113" s="4" t="s">
        <v>55</v>
      </c>
      <c r="H113" s="27"/>
      <c r="I113" s="27"/>
      <c r="J113" s="27"/>
      <c r="K113" s="27"/>
      <c r="L113" s="27"/>
      <c r="M113" s="24" t="e">
        <f>IF(SUM(I113:L113)=H113,SUM(I113:L113)*100%/H113,"Dato erroneo no cumple con la meta Absoluta (establecida)")</f>
        <v>#DIV/0!</v>
      </c>
      <c r="N113" s="27"/>
      <c r="O113" s="27"/>
      <c r="P113" s="27"/>
      <c r="Q113" s="27"/>
      <c r="R113" s="24" t="e">
        <f>SUM(N113:Q113)*100%/H113</f>
        <v>#DIV/0!</v>
      </c>
      <c r="S113" s="15"/>
    </row>
    <row r="114" spans="1:28" ht="38.25" hidden="1" x14ac:dyDescent="0.25">
      <c r="A114" s="67"/>
      <c r="B114" s="28"/>
      <c r="C114" s="28"/>
      <c r="D114" s="4" t="s">
        <v>263</v>
      </c>
      <c r="E114" s="4" t="s">
        <v>264</v>
      </c>
      <c r="F114" s="4" t="s">
        <v>265</v>
      </c>
      <c r="G114" s="4" t="s">
        <v>56</v>
      </c>
      <c r="H114" s="27"/>
      <c r="I114" s="27"/>
      <c r="J114" s="27"/>
      <c r="K114" s="27"/>
      <c r="L114" s="27"/>
      <c r="M114" s="24" t="e">
        <f t="shared" ref="M114:M115" si="20">IF(SUM(I114:L114)=H114,SUM(I114:L114)*100%/H114,"Dato erroneo no cumple con la meta Absoluta (establecida)")</f>
        <v>#DIV/0!</v>
      </c>
      <c r="N114" s="27"/>
      <c r="O114" s="27"/>
      <c r="P114" s="27"/>
      <c r="Q114" s="27"/>
      <c r="R114" s="24" t="e">
        <f t="shared" ref="R114:R115" si="21">SUM(N114:Q114)*100%/H114</f>
        <v>#DIV/0!</v>
      </c>
      <c r="S114" s="15"/>
    </row>
    <row r="115" spans="1:28" ht="89.25" hidden="1" x14ac:dyDescent="0.25">
      <c r="A115" s="67"/>
      <c r="B115" s="28"/>
      <c r="C115" s="28"/>
      <c r="D115" s="4" t="s">
        <v>266</v>
      </c>
      <c r="E115" s="4" t="s">
        <v>267</v>
      </c>
      <c r="F115" s="4" t="s">
        <v>268</v>
      </c>
      <c r="G115" s="4" t="s">
        <v>269</v>
      </c>
      <c r="H115" s="27"/>
      <c r="I115" s="27"/>
      <c r="J115" s="27"/>
      <c r="K115" s="27"/>
      <c r="L115" s="27"/>
      <c r="M115" s="24" t="e">
        <f t="shared" si="20"/>
        <v>#DIV/0!</v>
      </c>
      <c r="N115" s="27"/>
      <c r="O115" s="27"/>
      <c r="P115" s="27"/>
      <c r="Q115" s="27"/>
      <c r="R115" s="24" t="e">
        <f t="shared" si="21"/>
        <v>#DIV/0!</v>
      </c>
      <c r="S115" s="15"/>
    </row>
    <row r="116" spans="1:28" ht="63.75" hidden="1" x14ac:dyDescent="0.25">
      <c r="A116" s="67"/>
      <c r="B116" s="28"/>
      <c r="C116" s="28"/>
      <c r="D116" s="4" t="s">
        <v>270</v>
      </c>
      <c r="E116" s="4" t="s">
        <v>271</v>
      </c>
      <c r="F116" s="4" t="s">
        <v>272</v>
      </c>
      <c r="G116" s="4" t="s">
        <v>273</v>
      </c>
      <c r="H116" s="27"/>
      <c r="I116" s="27"/>
      <c r="J116" s="27"/>
      <c r="K116" s="27"/>
      <c r="L116" s="27"/>
      <c r="M116" s="24" t="e">
        <f t="shared" ref="M116:M118" si="22">IF(SUM(I116:L116)=H116,SUM(I116:L116)*100%/H116,"Dato erroneo no cumple con la meta Absoluta (establecida)")</f>
        <v>#DIV/0!</v>
      </c>
      <c r="N116" s="27"/>
      <c r="O116" s="27"/>
      <c r="P116" s="27"/>
      <c r="Q116" s="27"/>
      <c r="R116" s="24" t="e">
        <f t="shared" ref="R116:R118" si="23">SUM(N116:Q116)*100%/H116</f>
        <v>#DIV/0!</v>
      </c>
      <c r="S116" s="15"/>
    </row>
    <row r="117" spans="1:28" ht="51" hidden="1" x14ac:dyDescent="0.25">
      <c r="A117" s="67"/>
      <c r="B117" s="28"/>
      <c r="C117" s="28"/>
      <c r="D117" s="4" t="s">
        <v>274</v>
      </c>
      <c r="E117" s="4" t="s">
        <v>275</v>
      </c>
      <c r="F117" s="4">
        <v>3</v>
      </c>
      <c r="G117" s="4" t="s">
        <v>55</v>
      </c>
      <c r="H117" s="27"/>
      <c r="I117" s="27"/>
      <c r="J117" s="27"/>
      <c r="K117" s="27"/>
      <c r="L117" s="27"/>
      <c r="M117" s="24" t="e">
        <f t="shared" si="22"/>
        <v>#DIV/0!</v>
      </c>
      <c r="N117" s="27"/>
      <c r="O117" s="27"/>
      <c r="P117" s="27"/>
      <c r="Q117" s="27"/>
      <c r="R117" s="24" t="e">
        <f t="shared" si="23"/>
        <v>#DIV/0!</v>
      </c>
      <c r="S117" s="15"/>
    </row>
    <row r="118" spans="1:28" ht="38.25" hidden="1" x14ac:dyDescent="0.25">
      <c r="A118" s="68"/>
      <c r="B118" s="28"/>
      <c r="C118" s="28"/>
      <c r="D118" s="4" t="s">
        <v>276</v>
      </c>
      <c r="E118" s="4" t="s">
        <v>264</v>
      </c>
      <c r="F118" s="4">
        <v>10</v>
      </c>
      <c r="G118" s="4" t="s">
        <v>56</v>
      </c>
      <c r="H118" s="27"/>
      <c r="I118" s="27"/>
      <c r="J118" s="27"/>
      <c r="K118" s="27"/>
      <c r="L118" s="27"/>
      <c r="M118" s="24" t="e">
        <f t="shared" si="22"/>
        <v>#DIV/0!</v>
      </c>
      <c r="N118" s="27"/>
      <c r="O118" s="27"/>
      <c r="P118" s="27"/>
      <c r="Q118" s="27"/>
      <c r="R118" s="24" t="e">
        <f t="shared" si="23"/>
        <v>#DIV/0!</v>
      </c>
      <c r="S118" s="15"/>
    </row>
    <row r="119" spans="1:28" ht="15" hidden="1" x14ac:dyDescent="0.25">
      <c r="A119" s="35" t="s">
        <v>53</v>
      </c>
      <c r="B119" s="35"/>
      <c r="C119" s="35"/>
      <c r="D119" s="35"/>
      <c r="E119" s="35"/>
      <c r="F119" s="35"/>
      <c r="G119" s="35"/>
      <c r="H119"/>
      <c r="I119"/>
      <c r="J119"/>
      <c r="K119"/>
      <c r="L119"/>
      <c r="M119"/>
      <c r="N119"/>
      <c r="O119"/>
      <c r="P119"/>
      <c r="Q119"/>
      <c r="R119"/>
      <c r="S119"/>
    </row>
    <row r="120" spans="1:28" ht="15" hidden="1" x14ac:dyDescent="0.25">
      <c r="A120" s="36"/>
      <c r="B120" s="36"/>
      <c r="C120" s="36"/>
      <c r="D120" s="36"/>
      <c r="E120" s="36"/>
      <c r="F120" s="36"/>
      <c r="G120" s="36"/>
      <c r="H120"/>
      <c r="I120"/>
      <c r="J120"/>
      <c r="K120"/>
      <c r="L120"/>
      <c r="M120"/>
      <c r="N120"/>
      <c r="O120"/>
      <c r="P120"/>
      <c r="Q120"/>
      <c r="R120"/>
      <c r="S120"/>
    </row>
    <row r="121" spans="1:28" ht="15" hidden="1" x14ac:dyDescent="0.25">
      <c r="A121" s="36"/>
      <c r="B121" s="36"/>
      <c r="C121" s="36"/>
      <c r="D121" s="36"/>
      <c r="E121" s="36"/>
      <c r="F121" s="36"/>
      <c r="G121" s="36"/>
      <c r="H121"/>
      <c r="I121"/>
      <c r="J121"/>
      <c r="K121"/>
      <c r="L121"/>
      <c r="M121"/>
      <c r="N121"/>
      <c r="O121"/>
      <c r="P121"/>
      <c r="Q121"/>
      <c r="R121"/>
      <c r="S121"/>
    </row>
    <row r="122" spans="1:28" ht="15" hidden="1" x14ac:dyDescent="0.25">
      <c r="A122" s="36"/>
      <c r="B122" s="36"/>
      <c r="C122" s="36"/>
      <c r="D122" s="36"/>
      <c r="E122" s="36"/>
      <c r="F122" s="36"/>
      <c r="G122" s="36"/>
      <c r="H122"/>
      <c r="I122"/>
      <c r="J122"/>
      <c r="K122"/>
      <c r="L122"/>
      <c r="M122"/>
      <c r="N122"/>
      <c r="O122"/>
      <c r="P122"/>
      <c r="Q122"/>
      <c r="R122"/>
      <c r="S122"/>
    </row>
    <row r="123" spans="1:28" ht="15" hidden="1" x14ac:dyDescent="0.25">
      <c r="A123" s="36"/>
      <c r="B123" s="36"/>
      <c r="C123" s="36"/>
      <c r="D123" s="36"/>
      <c r="E123" s="36"/>
      <c r="F123" s="36"/>
      <c r="G123" s="36"/>
      <c r="H123"/>
      <c r="I123"/>
      <c r="J123"/>
      <c r="K123"/>
      <c r="L123"/>
      <c r="M123"/>
      <c r="N123"/>
      <c r="O123"/>
      <c r="P123"/>
      <c r="Q123"/>
      <c r="R123"/>
      <c r="S123"/>
    </row>
    <row r="124" spans="1:28" hidden="1" x14ac:dyDescent="0.25">
      <c r="A124" s="36"/>
      <c r="B124" s="36"/>
      <c r="C124" s="36"/>
      <c r="D124" s="36"/>
      <c r="E124" s="36"/>
      <c r="F124" s="36"/>
      <c r="G124" s="36"/>
    </row>
    <row r="125" spans="1:28" hidden="1" x14ac:dyDescent="0.25"/>
    <row r="126" spans="1:28" ht="38.25" hidden="1" x14ac:dyDescent="0.25">
      <c r="A126" s="63" t="s">
        <v>120</v>
      </c>
      <c r="B126" s="64"/>
      <c r="C126" s="64"/>
      <c r="D126" s="64"/>
      <c r="E126" s="64"/>
      <c r="F126" s="64"/>
      <c r="G126" s="64"/>
      <c r="H126" s="51">
        <v>2025</v>
      </c>
      <c r="I126" s="25" t="s">
        <v>1435</v>
      </c>
      <c r="J126" s="25" t="s">
        <v>1440</v>
      </c>
      <c r="K126" s="25" t="s">
        <v>1441</v>
      </c>
      <c r="L126" s="25" t="s">
        <v>1442</v>
      </c>
      <c r="M126" s="25" t="s">
        <v>1444</v>
      </c>
      <c r="N126" s="25" t="s">
        <v>1435</v>
      </c>
      <c r="O126" s="25" t="s">
        <v>1440</v>
      </c>
      <c r="P126" s="25" t="s">
        <v>1441</v>
      </c>
      <c r="Q126" s="25" t="s">
        <v>1442</v>
      </c>
      <c r="R126" s="25" t="s">
        <v>1445</v>
      </c>
      <c r="S126" s="54" t="s">
        <v>1447</v>
      </c>
      <c r="T126" s="44"/>
      <c r="U126" s="44"/>
      <c r="V126" s="44"/>
      <c r="W126" s="44"/>
      <c r="X126" s="44"/>
      <c r="Y126" s="44"/>
      <c r="Z126" s="44"/>
      <c r="AA126" s="44"/>
      <c r="AB126" s="44"/>
    </row>
    <row r="127" spans="1:28" ht="15" hidden="1" customHeight="1" x14ac:dyDescent="0.25">
      <c r="A127" s="57" t="s">
        <v>57</v>
      </c>
      <c r="B127" s="58"/>
      <c r="C127" s="58"/>
      <c r="D127" s="58"/>
      <c r="E127" s="58"/>
      <c r="F127" s="58"/>
      <c r="G127" s="58"/>
      <c r="H127" s="52"/>
      <c r="I127" s="25" t="s">
        <v>1436</v>
      </c>
      <c r="J127" s="25" t="s">
        <v>1437</v>
      </c>
      <c r="K127" s="25" t="s">
        <v>1438</v>
      </c>
      <c r="L127" s="25" t="s">
        <v>1439</v>
      </c>
      <c r="M127" s="25" t="s">
        <v>55</v>
      </c>
      <c r="N127" s="25" t="s">
        <v>1436</v>
      </c>
      <c r="O127" s="25" t="s">
        <v>1437</v>
      </c>
      <c r="P127" s="25" t="s">
        <v>1438</v>
      </c>
      <c r="Q127" s="25" t="s">
        <v>1439</v>
      </c>
      <c r="R127" s="25" t="s">
        <v>55</v>
      </c>
      <c r="S127" s="54"/>
      <c r="T127" s="44"/>
      <c r="U127" s="44"/>
      <c r="V127" s="44"/>
      <c r="W127" s="44"/>
      <c r="X127" s="44"/>
      <c r="Y127" s="44"/>
      <c r="Z127" s="44"/>
      <c r="AA127" s="44"/>
      <c r="AB127" s="44"/>
    </row>
    <row r="128" spans="1:28" ht="13.5" hidden="1" customHeight="1" x14ac:dyDescent="0.25">
      <c r="A128" s="60"/>
      <c r="B128" s="61"/>
      <c r="C128" s="61"/>
      <c r="D128" s="61"/>
      <c r="E128" s="61"/>
      <c r="F128" s="61"/>
      <c r="G128" s="61"/>
      <c r="H128" s="53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54"/>
      <c r="T128" s="44"/>
      <c r="U128" s="44"/>
      <c r="V128" s="44"/>
      <c r="W128" s="44"/>
      <c r="X128" s="44"/>
      <c r="Y128" s="44"/>
      <c r="Z128" s="44"/>
      <c r="AA128" s="44"/>
      <c r="AB128" s="44"/>
    </row>
    <row r="129" spans="1:28" ht="25.5" hidden="1" x14ac:dyDescent="0.25">
      <c r="A129" s="10" t="s">
        <v>1</v>
      </c>
      <c r="B129" s="10" t="s">
        <v>1428</v>
      </c>
      <c r="C129" s="23" t="s">
        <v>1446</v>
      </c>
      <c r="D129" s="10" t="s">
        <v>2</v>
      </c>
      <c r="E129" s="10" t="s">
        <v>3</v>
      </c>
      <c r="F129" s="10" t="s">
        <v>4</v>
      </c>
      <c r="G129" s="10" t="s">
        <v>5</v>
      </c>
      <c r="H129" s="23" t="s">
        <v>1433</v>
      </c>
      <c r="I129" s="23" t="s">
        <v>1434</v>
      </c>
      <c r="J129" s="23" t="s">
        <v>1434</v>
      </c>
      <c r="K129" s="23" t="s">
        <v>1434</v>
      </c>
      <c r="L129" s="23" t="s">
        <v>1434</v>
      </c>
      <c r="M129" s="23" t="s">
        <v>1443</v>
      </c>
      <c r="N129" s="23" t="s">
        <v>1448</v>
      </c>
      <c r="O129" s="23" t="s">
        <v>1448</v>
      </c>
      <c r="P129" s="23" t="s">
        <v>1448</v>
      </c>
      <c r="Q129" s="23" t="s">
        <v>1448</v>
      </c>
      <c r="R129" s="23" t="s">
        <v>1449</v>
      </c>
      <c r="S129" s="54"/>
    </row>
    <row r="130" spans="1:28" ht="63.75" hidden="1" customHeight="1" x14ac:dyDescent="0.25">
      <c r="A130" s="66" t="s">
        <v>277</v>
      </c>
      <c r="B130" s="28"/>
      <c r="C130" s="28"/>
      <c r="D130" s="4" t="s">
        <v>278</v>
      </c>
      <c r="E130" s="4" t="s">
        <v>279</v>
      </c>
      <c r="F130" s="4" t="s">
        <v>280</v>
      </c>
      <c r="G130" s="4" t="s">
        <v>281</v>
      </c>
      <c r="H130" s="27"/>
      <c r="I130" s="27"/>
      <c r="J130" s="27"/>
      <c r="K130" s="27"/>
      <c r="L130" s="27"/>
      <c r="M130" s="24" t="e">
        <f>IF(SUM(I130:L130)=H130,SUM(I130:L130)*100%/H130,"Dato erroneo no cumple con la meta Absoluta (establecida)")</f>
        <v>#DIV/0!</v>
      </c>
      <c r="N130" s="27"/>
      <c r="O130" s="27"/>
      <c r="P130" s="27"/>
      <c r="Q130" s="27"/>
      <c r="R130" s="24" t="e">
        <f>SUM(N130:Q130)*100%/H130</f>
        <v>#DIV/0!</v>
      </c>
      <c r="S130" s="15"/>
    </row>
    <row r="131" spans="1:28" ht="63.75" hidden="1" x14ac:dyDescent="0.25">
      <c r="A131" s="67"/>
      <c r="B131" s="28"/>
      <c r="C131" s="28"/>
      <c r="D131" s="4" t="s">
        <v>282</v>
      </c>
      <c r="E131" s="4" t="s">
        <v>283</v>
      </c>
      <c r="F131" s="4" t="s">
        <v>284</v>
      </c>
      <c r="G131" s="4" t="s">
        <v>285</v>
      </c>
      <c r="H131" s="27"/>
      <c r="I131" s="27"/>
      <c r="J131" s="27"/>
      <c r="K131" s="27"/>
      <c r="L131" s="27"/>
      <c r="M131" s="24" t="e">
        <f t="shared" ref="M131:M132" si="24">IF(SUM(I131:L131)=H131,SUM(I131:L131)*100%/H131,"Dato erroneo no cumple con la meta Absoluta (establecida)")</f>
        <v>#DIV/0!</v>
      </c>
      <c r="N131" s="27"/>
      <c r="O131" s="27"/>
      <c r="P131" s="27"/>
      <c r="Q131" s="27"/>
      <c r="R131" s="24" t="e">
        <f t="shared" ref="R131:R132" si="25">SUM(N131:Q131)*100%/H131</f>
        <v>#DIV/0!</v>
      </c>
      <c r="S131" s="15"/>
    </row>
    <row r="132" spans="1:28" ht="63.75" hidden="1" x14ac:dyDescent="0.25">
      <c r="A132" s="67"/>
      <c r="B132" s="28"/>
      <c r="C132" s="28"/>
      <c r="D132" s="4" t="s">
        <v>286</v>
      </c>
      <c r="E132" s="4" t="s">
        <v>287</v>
      </c>
      <c r="F132" s="4" t="s">
        <v>288</v>
      </c>
      <c r="G132" s="4" t="s">
        <v>289</v>
      </c>
      <c r="H132" s="27"/>
      <c r="I132" s="27"/>
      <c r="J132" s="27"/>
      <c r="K132" s="27"/>
      <c r="L132" s="27"/>
      <c r="M132" s="24" t="e">
        <f t="shared" si="24"/>
        <v>#DIV/0!</v>
      </c>
      <c r="N132" s="27"/>
      <c r="O132" s="27"/>
      <c r="P132" s="27"/>
      <c r="Q132" s="27"/>
      <c r="R132" s="24" t="e">
        <f t="shared" si="25"/>
        <v>#DIV/0!</v>
      </c>
      <c r="S132" s="15"/>
    </row>
    <row r="133" spans="1:28" ht="76.5" hidden="1" x14ac:dyDescent="0.25">
      <c r="A133" s="67"/>
      <c r="B133" s="28"/>
      <c r="C133" s="28"/>
      <c r="D133" s="4" t="s">
        <v>290</v>
      </c>
      <c r="E133" s="4" t="s">
        <v>170</v>
      </c>
      <c r="F133" s="4" t="s">
        <v>291</v>
      </c>
      <c r="G133" s="4" t="s">
        <v>198</v>
      </c>
      <c r="H133" s="27"/>
      <c r="I133" s="27"/>
      <c r="J133" s="27"/>
      <c r="K133" s="27"/>
      <c r="L133" s="27"/>
      <c r="M133" s="24" t="e">
        <f t="shared" ref="M133:M135" si="26">IF(SUM(I133:L133)=H133,SUM(I133:L133)*100%/H133,"Dato erroneo no cumple con la meta Absoluta (establecida)")</f>
        <v>#DIV/0!</v>
      </c>
      <c r="N133" s="27"/>
      <c r="O133" s="27"/>
      <c r="P133" s="27"/>
      <c r="Q133" s="27"/>
      <c r="R133" s="24" t="e">
        <f t="shared" ref="R133:R135" si="27">SUM(N133:Q133)*100%/H133</f>
        <v>#DIV/0!</v>
      </c>
      <c r="S133" s="15"/>
    </row>
    <row r="134" spans="1:28" ht="63.75" hidden="1" x14ac:dyDescent="0.25">
      <c r="A134" s="67"/>
      <c r="B134" s="28"/>
      <c r="C134" s="28"/>
      <c r="D134" s="4" t="s">
        <v>292</v>
      </c>
      <c r="E134" s="4" t="s">
        <v>293</v>
      </c>
      <c r="F134" s="4" t="s">
        <v>294</v>
      </c>
      <c r="G134" s="4" t="s">
        <v>56</v>
      </c>
      <c r="H134" s="27"/>
      <c r="I134" s="27"/>
      <c r="J134" s="27"/>
      <c r="K134" s="27"/>
      <c r="L134" s="27"/>
      <c r="M134" s="24" t="e">
        <f t="shared" si="26"/>
        <v>#DIV/0!</v>
      </c>
      <c r="N134" s="27"/>
      <c r="O134" s="27"/>
      <c r="P134" s="27"/>
      <c r="Q134" s="27"/>
      <c r="R134" s="24" t="e">
        <f t="shared" si="27"/>
        <v>#DIV/0!</v>
      </c>
      <c r="S134" s="15"/>
    </row>
    <row r="135" spans="1:28" ht="76.5" hidden="1" x14ac:dyDescent="0.25">
      <c r="A135" s="68"/>
      <c r="B135" s="28"/>
      <c r="C135" s="28"/>
      <c r="D135" s="4" t="s">
        <v>295</v>
      </c>
      <c r="E135" s="4" t="s">
        <v>296</v>
      </c>
      <c r="F135" s="4" t="s">
        <v>297</v>
      </c>
      <c r="G135" s="4" t="s">
        <v>298</v>
      </c>
      <c r="H135" s="27"/>
      <c r="I135" s="27"/>
      <c r="J135" s="27"/>
      <c r="K135" s="27"/>
      <c r="L135" s="27"/>
      <c r="M135" s="24" t="e">
        <f t="shared" si="26"/>
        <v>#DIV/0!</v>
      </c>
      <c r="N135" s="27"/>
      <c r="O135" s="27"/>
      <c r="P135" s="27"/>
      <c r="Q135" s="27"/>
      <c r="R135" s="24" t="e">
        <f t="shared" si="27"/>
        <v>#DIV/0!</v>
      </c>
      <c r="S135" s="15"/>
    </row>
    <row r="136" spans="1:28" ht="15" hidden="1" x14ac:dyDescent="0.25">
      <c r="A136" s="35" t="s">
        <v>53</v>
      </c>
      <c r="B136" s="35"/>
      <c r="C136" s="35"/>
      <c r="D136" s="35"/>
      <c r="E136" s="35"/>
      <c r="F136" s="35"/>
      <c r="G136" s="35"/>
      <c r="H136"/>
      <c r="I136"/>
      <c r="J136"/>
      <c r="K136"/>
      <c r="L136"/>
      <c r="M136"/>
      <c r="N136"/>
      <c r="O136"/>
      <c r="P136"/>
      <c r="Q136"/>
      <c r="R136"/>
      <c r="S136"/>
      <c r="T136"/>
    </row>
    <row r="137" spans="1:28" ht="15" hidden="1" x14ac:dyDescent="0.25">
      <c r="A137" s="36"/>
      <c r="B137" s="36"/>
      <c r="C137" s="36"/>
      <c r="D137" s="36"/>
      <c r="E137" s="36"/>
      <c r="F137" s="36"/>
      <c r="G137" s="36"/>
      <c r="H137"/>
      <c r="I137"/>
      <c r="J137"/>
      <c r="K137"/>
      <c r="L137"/>
      <c r="M137"/>
      <c r="N137"/>
      <c r="O137"/>
      <c r="P137"/>
      <c r="Q137"/>
      <c r="R137"/>
      <c r="S137"/>
      <c r="T137"/>
    </row>
    <row r="138" spans="1:28" ht="15" hidden="1" x14ac:dyDescent="0.25">
      <c r="A138" s="36"/>
      <c r="B138" s="36"/>
      <c r="C138" s="36"/>
      <c r="D138" s="36"/>
      <c r="E138" s="36"/>
      <c r="F138" s="36"/>
      <c r="G138" s="36"/>
      <c r="H138"/>
      <c r="I138"/>
      <c r="J138"/>
      <c r="K138"/>
      <c r="L138"/>
      <c r="M138"/>
      <c r="N138"/>
      <c r="O138"/>
      <c r="P138"/>
      <c r="Q138"/>
      <c r="R138"/>
      <c r="S138"/>
      <c r="T138"/>
    </row>
    <row r="139" spans="1:28" ht="15" hidden="1" x14ac:dyDescent="0.25">
      <c r="A139" s="36"/>
      <c r="B139" s="36"/>
      <c r="C139" s="36"/>
      <c r="D139" s="36"/>
      <c r="E139" s="36"/>
      <c r="F139" s="36"/>
      <c r="G139" s="36"/>
      <c r="H139"/>
      <c r="I139"/>
      <c r="J139"/>
      <c r="K139"/>
      <c r="L139"/>
      <c r="M139"/>
      <c r="N139"/>
      <c r="O139"/>
      <c r="P139"/>
      <c r="Q139"/>
      <c r="R139"/>
      <c r="S139"/>
      <c r="T139"/>
    </row>
    <row r="140" spans="1:28" ht="15" hidden="1" x14ac:dyDescent="0.25">
      <c r="A140" s="36"/>
      <c r="B140" s="36"/>
      <c r="C140" s="36"/>
      <c r="D140" s="36"/>
      <c r="E140" s="36"/>
      <c r="F140" s="36"/>
      <c r="G140" s="36"/>
      <c r="H140"/>
      <c r="I140"/>
      <c r="J140"/>
      <c r="K140"/>
      <c r="L140"/>
      <c r="M140"/>
      <c r="N140"/>
      <c r="O140"/>
      <c r="P140"/>
      <c r="Q140"/>
      <c r="R140"/>
      <c r="S140"/>
      <c r="T140"/>
    </row>
    <row r="141" spans="1:28" hidden="1" x14ac:dyDescent="0.25">
      <c r="A141" s="36"/>
      <c r="B141" s="36"/>
      <c r="C141" s="36"/>
      <c r="D141" s="36"/>
      <c r="E141" s="36"/>
      <c r="F141" s="36"/>
      <c r="G141" s="36"/>
    </row>
    <row r="142" spans="1:28" hidden="1" x14ac:dyDescent="0.25"/>
    <row r="143" spans="1:28" ht="38.25" hidden="1" x14ac:dyDescent="0.25">
      <c r="A143" s="63" t="s">
        <v>120</v>
      </c>
      <c r="B143" s="64"/>
      <c r="C143" s="64"/>
      <c r="D143" s="64"/>
      <c r="E143" s="64"/>
      <c r="F143" s="64"/>
      <c r="G143" s="65"/>
      <c r="H143" s="51">
        <v>2025</v>
      </c>
      <c r="I143" s="25" t="s">
        <v>1435</v>
      </c>
      <c r="J143" s="25" t="s">
        <v>1440</v>
      </c>
      <c r="K143" s="25" t="s">
        <v>1441</v>
      </c>
      <c r="L143" s="25" t="s">
        <v>1442</v>
      </c>
      <c r="M143" s="25" t="s">
        <v>1444</v>
      </c>
      <c r="N143" s="25" t="s">
        <v>1435</v>
      </c>
      <c r="O143" s="25" t="s">
        <v>1440</v>
      </c>
      <c r="P143" s="25" t="s">
        <v>1441</v>
      </c>
      <c r="Q143" s="25" t="s">
        <v>1442</v>
      </c>
      <c r="R143" s="25" t="s">
        <v>1445</v>
      </c>
      <c r="S143" s="54" t="s">
        <v>1447</v>
      </c>
      <c r="T143" s="44"/>
      <c r="U143" s="44"/>
      <c r="V143" s="44"/>
      <c r="W143" s="44"/>
      <c r="X143" s="44"/>
      <c r="Y143" s="44"/>
      <c r="Z143" s="44"/>
      <c r="AA143" s="44"/>
      <c r="AB143" s="44"/>
    </row>
    <row r="144" spans="1:28" ht="15" hidden="1" customHeight="1" x14ac:dyDescent="0.25">
      <c r="A144" s="57" t="s">
        <v>58</v>
      </c>
      <c r="B144" s="58"/>
      <c r="C144" s="58"/>
      <c r="D144" s="58"/>
      <c r="E144" s="58"/>
      <c r="F144" s="58"/>
      <c r="G144" s="59"/>
      <c r="H144" s="52"/>
      <c r="I144" s="25" t="s">
        <v>1436</v>
      </c>
      <c r="J144" s="25" t="s">
        <v>1437</v>
      </c>
      <c r="K144" s="25" t="s">
        <v>1438</v>
      </c>
      <c r="L144" s="25" t="s">
        <v>1439</v>
      </c>
      <c r="M144" s="25" t="s">
        <v>55</v>
      </c>
      <c r="N144" s="25" t="s">
        <v>1436</v>
      </c>
      <c r="O144" s="25" t="s">
        <v>1437</v>
      </c>
      <c r="P144" s="25" t="s">
        <v>1438</v>
      </c>
      <c r="Q144" s="25" t="s">
        <v>1439</v>
      </c>
      <c r="R144" s="25" t="s">
        <v>55</v>
      </c>
      <c r="S144" s="54"/>
      <c r="T144" s="44"/>
      <c r="U144" s="44"/>
      <c r="V144" s="44"/>
      <c r="W144" s="44"/>
      <c r="X144" s="44"/>
      <c r="Y144" s="44"/>
      <c r="Z144" s="44"/>
      <c r="AA144" s="44"/>
      <c r="AB144" s="44"/>
    </row>
    <row r="145" spans="1:28" ht="13.5" hidden="1" customHeight="1" x14ac:dyDescent="0.25">
      <c r="A145" s="60"/>
      <c r="B145" s="61"/>
      <c r="C145" s="61"/>
      <c r="D145" s="61"/>
      <c r="E145" s="61"/>
      <c r="F145" s="61"/>
      <c r="G145" s="62"/>
      <c r="H145" s="53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54"/>
      <c r="T145" s="44"/>
      <c r="U145" s="44"/>
      <c r="V145" s="44"/>
      <c r="W145" s="44"/>
      <c r="X145" s="44"/>
      <c r="Y145" s="44"/>
      <c r="Z145" s="44"/>
      <c r="AA145" s="44"/>
      <c r="AB145" s="44"/>
    </row>
    <row r="146" spans="1:28" ht="25.5" hidden="1" x14ac:dyDescent="0.25">
      <c r="A146" s="10" t="s">
        <v>1</v>
      </c>
      <c r="B146" s="10" t="s">
        <v>1428</v>
      </c>
      <c r="C146" s="23" t="s">
        <v>1446</v>
      </c>
      <c r="D146" s="10" t="s">
        <v>2</v>
      </c>
      <c r="E146" s="10" t="s">
        <v>3</v>
      </c>
      <c r="F146" s="10" t="s">
        <v>4</v>
      </c>
      <c r="G146" s="10" t="s">
        <v>5</v>
      </c>
      <c r="H146" s="23" t="s">
        <v>1433</v>
      </c>
      <c r="I146" s="23" t="s">
        <v>1434</v>
      </c>
      <c r="J146" s="23" t="s">
        <v>1434</v>
      </c>
      <c r="K146" s="23" t="s">
        <v>1434</v>
      </c>
      <c r="L146" s="23" t="s">
        <v>1434</v>
      </c>
      <c r="M146" s="23" t="s">
        <v>1443</v>
      </c>
      <c r="N146" s="23" t="s">
        <v>1448</v>
      </c>
      <c r="O146" s="23" t="s">
        <v>1448</v>
      </c>
      <c r="P146" s="23" t="s">
        <v>1448</v>
      </c>
      <c r="Q146" s="23" t="s">
        <v>1448</v>
      </c>
      <c r="R146" s="23" t="s">
        <v>1449</v>
      </c>
      <c r="S146" s="54"/>
    </row>
    <row r="147" spans="1:28" ht="63.75" hidden="1" customHeight="1" x14ac:dyDescent="0.25">
      <c r="A147" s="66" t="s">
        <v>299</v>
      </c>
      <c r="B147" s="28"/>
      <c r="C147" s="28"/>
      <c r="D147" s="4" t="s">
        <v>300</v>
      </c>
      <c r="E147" s="4" t="s">
        <v>301</v>
      </c>
      <c r="F147" s="4" t="s">
        <v>302</v>
      </c>
      <c r="G147" s="4" t="s">
        <v>303</v>
      </c>
      <c r="H147" s="27"/>
      <c r="I147" s="27"/>
      <c r="J147" s="27"/>
      <c r="K147" s="27"/>
      <c r="L147" s="27"/>
      <c r="M147" s="24" t="e">
        <f>IF(SUM(I147:L147)=H147,SUM(I147:L147)*100%/H147,"Dato erroneo no cumple con la meta Absoluta (establecida)")</f>
        <v>#DIV/0!</v>
      </c>
      <c r="N147" s="27"/>
      <c r="O147" s="27"/>
      <c r="P147" s="27"/>
      <c r="Q147" s="27"/>
      <c r="R147" s="24" t="e">
        <f>SUM(N147:Q147)*100%/H147</f>
        <v>#DIV/0!</v>
      </c>
      <c r="S147" s="15"/>
    </row>
    <row r="148" spans="1:28" ht="63.75" hidden="1" x14ac:dyDescent="0.25">
      <c r="A148" s="67"/>
      <c r="B148" s="28"/>
      <c r="C148" s="28"/>
      <c r="D148" s="4" t="s">
        <v>304</v>
      </c>
      <c r="E148" s="4" t="s">
        <v>305</v>
      </c>
      <c r="F148" s="4" t="s">
        <v>306</v>
      </c>
      <c r="G148" s="4" t="s">
        <v>307</v>
      </c>
      <c r="H148" s="27"/>
      <c r="I148" s="27"/>
      <c r="J148" s="27"/>
      <c r="K148" s="27"/>
      <c r="L148" s="27"/>
      <c r="M148" s="24" t="e">
        <f t="shared" ref="M148" si="28">IF(SUM(I148:L148)=H148,SUM(I148:L148)*100%/H148,"Dato erroneo no cumple con la meta Absoluta (establecida)")</f>
        <v>#DIV/0!</v>
      </c>
      <c r="N148" s="27"/>
      <c r="O148" s="27"/>
      <c r="P148" s="27"/>
      <c r="Q148" s="27"/>
      <c r="R148" s="24" t="e">
        <f t="shared" ref="R148" si="29">SUM(N148:Q148)*100%/H148</f>
        <v>#DIV/0!</v>
      </c>
      <c r="S148" s="15"/>
    </row>
    <row r="149" spans="1:28" ht="76.5" hidden="1" x14ac:dyDescent="0.25">
      <c r="A149" s="67"/>
      <c r="B149" s="28"/>
      <c r="C149" s="28"/>
      <c r="D149" s="4" t="s">
        <v>308</v>
      </c>
      <c r="E149" s="4" t="s">
        <v>309</v>
      </c>
      <c r="F149" s="4" t="s">
        <v>310</v>
      </c>
      <c r="G149" s="4" t="s">
        <v>311</v>
      </c>
      <c r="H149" s="27"/>
      <c r="I149" s="27"/>
      <c r="J149" s="27"/>
      <c r="K149" s="27"/>
      <c r="L149" s="27"/>
      <c r="M149" s="24" t="e">
        <f t="shared" ref="M149:M161" si="30">IF(SUM(I149:L149)=H149,SUM(I149:L149)*100%/H149,"Dato erroneo no cumple con la meta Absoluta (establecida)")</f>
        <v>#DIV/0!</v>
      </c>
      <c r="N149" s="27"/>
      <c r="O149" s="27"/>
      <c r="P149" s="27"/>
      <c r="Q149" s="27"/>
      <c r="R149" s="24" t="e">
        <f t="shared" ref="R149:R161" si="31">SUM(N149:Q149)*100%/H149</f>
        <v>#DIV/0!</v>
      </c>
      <c r="S149" s="15"/>
    </row>
    <row r="150" spans="1:28" ht="76.5" hidden="1" x14ac:dyDescent="0.25">
      <c r="A150" s="67"/>
      <c r="B150" s="28"/>
      <c r="C150" s="28"/>
      <c r="D150" s="4" t="s">
        <v>312</v>
      </c>
      <c r="E150" s="4" t="s">
        <v>313</v>
      </c>
      <c r="F150" s="4" t="s">
        <v>314</v>
      </c>
      <c r="G150" s="4" t="s">
        <v>315</v>
      </c>
      <c r="H150" s="27"/>
      <c r="I150" s="27"/>
      <c r="J150" s="27"/>
      <c r="K150" s="27"/>
      <c r="L150" s="27"/>
      <c r="M150" s="24" t="e">
        <f t="shared" si="30"/>
        <v>#DIV/0!</v>
      </c>
      <c r="N150" s="27"/>
      <c r="O150" s="27"/>
      <c r="P150" s="27"/>
      <c r="Q150" s="27"/>
      <c r="R150" s="24" t="e">
        <f t="shared" si="31"/>
        <v>#DIV/0!</v>
      </c>
      <c r="S150" s="15"/>
    </row>
    <row r="151" spans="1:28" ht="51" hidden="1" x14ac:dyDescent="0.25">
      <c r="A151" s="67"/>
      <c r="B151" s="28"/>
      <c r="C151" s="28"/>
      <c r="D151" s="4" t="s">
        <v>316</v>
      </c>
      <c r="E151" s="4" t="s">
        <v>317</v>
      </c>
      <c r="F151" s="4" t="s">
        <v>59</v>
      </c>
      <c r="G151" s="4" t="s">
        <v>318</v>
      </c>
      <c r="H151" s="27"/>
      <c r="I151" s="27"/>
      <c r="J151" s="27"/>
      <c r="K151" s="27"/>
      <c r="L151" s="27"/>
      <c r="M151" s="24" t="e">
        <f t="shared" si="30"/>
        <v>#DIV/0!</v>
      </c>
      <c r="N151" s="27"/>
      <c r="O151" s="27"/>
      <c r="P151" s="27"/>
      <c r="Q151" s="27"/>
      <c r="R151" s="24" t="e">
        <f t="shared" si="31"/>
        <v>#DIV/0!</v>
      </c>
      <c r="S151" s="15"/>
    </row>
    <row r="152" spans="1:28" ht="51" hidden="1" x14ac:dyDescent="0.25">
      <c r="A152" s="67"/>
      <c r="B152" s="28"/>
      <c r="C152" s="28"/>
      <c r="D152" s="4" t="s">
        <v>319</v>
      </c>
      <c r="E152" s="4" t="s">
        <v>320</v>
      </c>
      <c r="F152" s="4" t="s">
        <v>60</v>
      </c>
      <c r="G152" s="4" t="s">
        <v>321</v>
      </c>
      <c r="H152" s="27"/>
      <c r="I152" s="27"/>
      <c r="J152" s="27"/>
      <c r="K152" s="27"/>
      <c r="L152" s="27"/>
      <c r="M152" s="24" t="e">
        <f t="shared" si="30"/>
        <v>#DIV/0!</v>
      </c>
      <c r="N152" s="27"/>
      <c r="O152" s="27"/>
      <c r="P152" s="27"/>
      <c r="Q152" s="27"/>
      <c r="R152" s="24" t="e">
        <f t="shared" si="31"/>
        <v>#DIV/0!</v>
      </c>
      <c r="S152" s="15"/>
    </row>
    <row r="153" spans="1:28" ht="38.25" hidden="1" x14ac:dyDescent="0.25">
      <c r="A153" s="67"/>
      <c r="B153" s="28"/>
      <c r="C153" s="28"/>
      <c r="D153" s="4" t="s">
        <v>322</v>
      </c>
      <c r="E153" s="4" t="s">
        <v>323</v>
      </c>
      <c r="F153" s="4" t="s">
        <v>61</v>
      </c>
      <c r="G153" s="4" t="s">
        <v>324</v>
      </c>
      <c r="H153" s="27"/>
      <c r="I153" s="27"/>
      <c r="J153" s="27"/>
      <c r="K153" s="27"/>
      <c r="L153" s="27"/>
      <c r="M153" s="24" t="e">
        <f t="shared" si="30"/>
        <v>#DIV/0!</v>
      </c>
      <c r="N153" s="27"/>
      <c r="O153" s="27"/>
      <c r="P153" s="27"/>
      <c r="Q153" s="27"/>
      <c r="R153" s="24" t="e">
        <f t="shared" si="31"/>
        <v>#DIV/0!</v>
      </c>
      <c r="S153" s="15"/>
    </row>
    <row r="154" spans="1:28" ht="25.5" hidden="1" x14ac:dyDescent="0.25">
      <c r="A154" s="67"/>
      <c r="B154" s="28"/>
      <c r="C154" s="28"/>
      <c r="D154" s="6" t="s">
        <v>325</v>
      </c>
      <c r="E154" s="6" t="s">
        <v>326</v>
      </c>
      <c r="F154" s="6" t="s">
        <v>62</v>
      </c>
      <c r="G154" s="4" t="s">
        <v>1432</v>
      </c>
      <c r="H154" s="27"/>
      <c r="I154" s="27"/>
      <c r="J154" s="27"/>
      <c r="K154" s="27"/>
      <c r="L154" s="27"/>
      <c r="M154" s="24" t="e">
        <f t="shared" si="30"/>
        <v>#DIV/0!</v>
      </c>
      <c r="N154" s="27"/>
      <c r="O154" s="27"/>
      <c r="P154" s="27"/>
      <c r="Q154" s="27"/>
      <c r="R154" s="24" t="e">
        <f t="shared" si="31"/>
        <v>#DIV/0!</v>
      </c>
      <c r="S154" s="15"/>
    </row>
    <row r="155" spans="1:28" ht="51" hidden="1" x14ac:dyDescent="0.25">
      <c r="A155" s="67"/>
      <c r="B155" s="28"/>
      <c r="C155" s="28"/>
      <c r="D155" s="4" t="s">
        <v>327</v>
      </c>
      <c r="E155" s="4" t="s">
        <v>328</v>
      </c>
      <c r="F155" s="4" t="s">
        <v>63</v>
      </c>
      <c r="G155" s="4" t="s">
        <v>329</v>
      </c>
      <c r="H155" s="27"/>
      <c r="I155" s="27"/>
      <c r="J155" s="27"/>
      <c r="K155" s="27"/>
      <c r="L155" s="27"/>
      <c r="M155" s="24" t="e">
        <f t="shared" si="30"/>
        <v>#DIV/0!</v>
      </c>
      <c r="N155" s="27"/>
      <c r="O155" s="27"/>
      <c r="P155" s="27"/>
      <c r="Q155" s="27"/>
      <c r="R155" s="24" t="e">
        <f t="shared" si="31"/>
        <v>#DIV/0!</v>
      </c>
      <c r="S155" s="15"/>
    </row>
    <row r="156" spans="1:28" ht="63.75" hidden="1" x14ac:dyDescent="0.25">
      <c r="A156" s="67"/>
      <c r="B156" s="28"/>
      <c r="C156" s="28"/>
      <c r="D156" s="4" t="s">
        <v>330</v>
      </c>
      <c r="E156" s="4" t="s">
        <v>331</v>
      </c>
      <c r="F156" s="4" t="s">
        <v>332</v>
      </c>
      <c r="G156" s="4" t="s">
        <v>333</v>
      </c>
      <c r="H156" s="27"/>
      <c r="I156" s="27"/>
      <c r="J156" s="27"/>
      <c r="K156" s="27"/>
      <c r="L156" s="27"/>
      <c r="M156" s="24" t="e">
        <f t="shared" si="30"/>
        <v>#DIV/0!</v>
      </c>
      <c r="N156" s="27"/>
      <c r="O156" s="27"/>
      <c r="P156" s="27"/>
      <c r="Q156" s="27"/>
      <c r="R156" s="24" t="e">
        <f t="shared" si="31"/>
        <v>#DIV/0!</v>
      </c>
      <c r="S156" s="15"/>
    </row>
    <row r="157" spans="1:28" ht="38.25" hidden="1" x14ac:dyDescent="0.25">
      <c r="A157" s="67"/>
      <c r="B157" s="28"/>
      <c r="C157" s="28"/>
      <c r="D157" s="4" t="s">
        <v>334</v>
      </c>
      <c r="E157" s="4" t="s">
        <v>335</v>
      </c>
      <c r="F157" s="4" t="s">
        <v>336</v>
      </c>
      <c r="G157" s="4" t="s">
        <v>337</v>
      </c>
      <c r="H157" s="27"/>
      <c r="I157" s="27"/>
      <c r="J157" s="27"/>
      <c r="K157" s="27"/>
      <c r="L157" s="27"/>
      <c r="M157" s="24" t="e">
        <f t="shared" si="30"/>
        <v>#DIV/0!</v>
      </c>
      <c r="N157" s="27"/>
      <c r="O157" s="27"/>
      <c r="P157" s="27"/>
      <c r="Q157" s="27"/>
      <c r="R157" s="24" t="e">
        <f t="shared" si="31"/>
        <v>#DIV/0!</v>
      </c>
      <c r="S157" s="15"/>
    </row>
    <row r="158" spans="1:28" ht="38.25" hidden="1" x14ac:dyDescent="0.25">
      <c r="A158" s="67"/>
      <c r="B158" s="28"/>
      <c r="C158" s="28"/>
      <c r="D158" s="4" t="s">
        <v>338</v>
      </c>
      <c r="E158" s="4" t="s">
        <v>339</v>
      </c>
      <c r="F158" s="4" t="s">
        <v>340</v>
      </c>
      <c r="G158" s="4" t="s">
        <v>341</v>
      </c>
      <c r="H158" s="27"/>
      <c r="I158" s="27"/>
      <c r="J158" s="27"/>
      <c r="K158" s="27"/>
      <c r="L158" s="27"/>
      <c r="M158" s="24" t="e">
        <f t="shared" si="30"/>
        <v>#DIV/0!</v>
      </c>
      <c r="N158" s="27"/>
      <c r="O158" s="27"/>
      <c r="P158" s="27"/>
      <c r="Q158" s="27"/>
      <c r="R158" s="24" t="e">
        <f t="shared" si="31"/>
        <v>#DIV/0!</v>
      </c>
      <c r="S158" s="15"/>
    </row>
    <row r="159" spans="1:28" ht="38.25" hidden="1" x14ac:dyDescent="0.25">
      <c r="A159" s="67"/>
      <c r="B159" s="28"/>
      <c r="C159" s="28"/>
      <c r="D159" s="4" t="s">
        <v>342</v>
      </c>
      <c r="E159" s="4" t="s">
        <v>343</v>
      </c>
      <c r="F159" s="4" t="s">
        <v>344</v>
      </c>
      <c r="G159" s="4" t="s">
        <v>341</v>
      </c>
      <c r="H159" s="27"/>
      <c r="I159" s="27"/>
      <c r="J159" s="27"/>
      <c r="K159" s="27"/>
      <c r="L159" s="27"/>
      <c r="M159" s="24" t="e">
        <f t="shared" si="30"/>
        <v>#DIV/0!</v>
      </c>
      <c r="N159" s="27"/>
      <c r="O159" s="27"/>
      <c r="P159" s="27"/>
      <c r="Q159" s="27"/>
      <c r="R159" s="24" t="e">
        <f t="shared" si="31"/>
        <v>#DIV/0!</v>
      </c>
      <c r="S159" s="15"/>
    </row>
    <row r="160" spans="1:28" ht="51" hidden="1" x14ac:dyDescent="0.25">
      <c r="A160" s="67"/>
      <c r="B160" s="28"/>
      <c r="C160" s="28"/>
      <c r="D160" s="4" t="s">
        <v>345</v>
      </c>
      <c r="E160" s="4" t="s">
        <v>346</v>
      </c>
      <c r="F160" s="4" t="s">
        <v>347</v>
      </c>
      <c r="G160" s="4" t="s">
        <v>348</v>
      </c>
      <c r="H160" s="27"/>
      <c r="I160" s="27"/>
      <c r="J160" s="27"/>
      <c r="K160" s="27"/>
      <c r="L160" s="27"/>
      <c r="M160" s="24" t="e">
        <f t="shared" si="30"/>
        <v>#DIV/0!</v>
      </c>
      <c r="N160" s="27"/>
      <c r="O160" s="27"/>
      <c r="P160" s="27"/>
      <c r="Q160" s="27"/>
      <c r="R160" s="24" t="e">
        <f t="shared" si="31"/>
        <v>#DIV/0!</v>
      </c>
      <c r="S160" s="15"/>
    </row>
    <row r="161" spans="1:28" ht="76.5" hidden="1" x14ac:dyDescent="0.25">
      <c r="A161" s="68"/>
      <c r="B161" s="28"/>
      <c r="C161" s="28"/>
      <c r="D161" s="4" t="s">
        <v>349</v>
      </c>
      <c r="E161" s="4" t="s">
        <v>350</v>
      </c>
      <c r="F161" s="4" t="s">
        <v>351</v>
      </c>
      <c r="G161" s="4" t="s">
        <v>352</v>
      </c>
      <c r="H161" s="27"/>
      <c r="I161" s="27"/>
      <c r="J161" s="27"/>
      <c r="K161" s="27"/>
      <c r="L161" s="27"/>
      <c r="M161" s="24" t="e">
        <f t="shared" si="30"/>
        <v>#DIV/0!</v>
      </c>
      <c r="N161" s="27"/>
      <c r="O161" s="27"/>
      <c r="P161" s="27"/>
      <c r="Q161" s="27"/>
      <c r="R161" s="24" t="e">
        <f t="shared" si="31"/>
        <v>#DIV/0!</v>
      </c>
      <c r="S161" s="15"/>
    </row>
    <row r="162" spans="1:28" ht="15" hidden="1" x14ac:dyDescent="0.25">
      <c r="A162" s="35" t="s">
        <v>353</v>
      </c>
      <c r="B162" s="35"/>
      <c r="C162" s="35"/>
      <c r="D162" s="35"/>
      <c r="E162" s="35"/>
      <c r="F162" s="35"/>
      <c r="G162" s="35"/>
      <c r="H162"/>
      <c r="I162"/>
      <c r="J162"/>
      <c r="K162"/>
      <c r="L162"/>
      <c r="M162"/>
      <c r="N162"/>
      <c r="O162"/>
      <c r="P162"/>
      <c r="Q162"/>
      <c r="R162"/>
      <c r="S162"/>
    </row>
    <row r="163" spans="1:28" ht="15" hidden="1" x14ac:dyDescent="0.25">
      <c r="A163" s="8"/>
      <c r="B163" s="8"/>
      <c r="C163" s="8"/>
      <c r="D163" s="8"/>
      <c r="E163" s="8"/>
      <c r="F163" s="8"/>
      <c r="G163" s="8"/>
      <c r="H163"/>
      <c r="I163"/>
      <c r="J163"/>
      <c r="K163"/>
      <c r="L163"/>
      <c r="M163"/>
      <c r="N163"/>
      <c r="O163"/>
      <c r="P163"/>
      <c r="Q163"/>
      <c r="R163"/>
      <c r="S163"/>
    </row>
    <row r="164" spans="1:28" ht="15" hidden="1" x14ac:dyDescent="0.25">
      <c r="A164" s="8"/>
      <c r="B164" s="8"/>
      <c r="C164" s="8"/>
      <c r="D164" s="8"/>
      <c r="E164" s="8"/>
      <c r="F164" s="8"/>
      <c r="G164" s="8"/>
      <c r="H164"/>
      <c r="I164"/>
      <c r="J164"/>
      <c r="K164"/>
      <c r="L164"/>
      <c r="M164"/>
      <c r="N164"/>
      <c r="O164"/>
      <c r="P164"/>
      <c r="Q164"/>
      <c r="R164"/>
      <c r="S164"/>
    </row>
    <row r="165" spans="1:28" hidden="1" x14ac:dyDescent="0.25">
      <c r="A165" s="8"/>
      <c r="B165" s="8"/>
      <c r="C165" s="8"/>
      <c r="D165" s="8"/>
      <c r="E165" s="8"/>
      <c r="F165" s="8"/>
      <c r="G165" s="8"/>
    </row>
    <row r="166" spans="1:28" hidden="1" x14ac:dyDescent="0.25">
      <c r="A166" s="8"/>
      <c r="B166" s="8"/>
      <c r="C166" s="8"/>
      <c r="D166" s="8"/>
      <c r="E166" s="8"/>
      <c r="F166" s="8"/>
      <c r="G166" s="8"/>
    </row>
    <row r="167" spans="1:28" hidden="1" x14ac:dyDescent="0.25">
      <c r="A167" s="8"/>
      <c r="B167" s="8"/>
      <c r="C167" s="8"/>
      <c r="D167" s="8"/>
      <c r="E167" s="8"/>
      <c r="F167" s="8"/>
      <c r="G167" s="8"/>
    </row>
    <row r="168" spans="1:28" hidden="1" x14ac:dyDescent="0.25">
      <c r="A168" s="8"/>
      <c r="B168" s="8"/>
      <c r="C168" s="8"/>
      <c r="D168" s="8"/>
      <c r="E168" s="8"/>
      <c r="F168" s="8"/>
      <c r="G168" s="8"/>
    </row>
    <row r="169" spans="1:28" hidden="1" x14ac:dyDescent="0.25">
      <c r="A169" s="8"/>
      <c r="B169" s="8"/>
      <c r="C169" s="8"/>
      <c r="D169" s="8"/>
      <c r="E169" s="8"/>
      <c r="F169" s="8"/>
      <c r="G169" s="8"/>
    </row>
    <row r="170" spans="1:28" ht="38.25" hidden="1" x14ac:dyDescent="0.25">
      <c r="A170" s="63" t="s">
        <v>120</v>
      </c>
      <c r="B170" s="64"/>
      <c r="C170" s="64"/>
      <c r="D170" s="64"/>
      <c r="E170" s="64"/>
      <c r="F170" s="64"/>
      <c r="G170" s="65"/>
      <c r="H170" s="51">
        <v>2025</v>
      </c>
      <c r="I170" s="25" t="s">
        <v>1435</v>
      </c>
      <c r="J170" s="25" t="s">
        <v>1440</v>
      </c>
      <c r="K170" s="25" t="s">
        <v>1441</v>
      </c>
      <c r="L170" s="25" t="s">
        <v>1442</v>
      </c>
      <c r="M170" s="25" t="s">
        <v>1444</v>
      </c>
      <c r="N170" s="25" t="s">
        <v>1435</v>
      </c>
      <c r="O170" s="25" t="s">
        <v>1440</v>
      </c>
      <c r="P170" s="25" t="s">
        <v>1441</v>
      </c>
      <c r="Q170" s="25" t="s">
        <v>1442</v>
      </c>
      <c r="R170" s="25" t="s">
        <v>1445</v>
      </c>
      <c r="S170" s="54" t="s">
        <v>1447</v>
      </c>
      <c r="T170" s="44"/>
      <c r="U170" s="44"/>
      <c r="V170" s="44"/>
      <c r="W170" s="44"/>
      <c r="X170" s="44"/>
      <c r="Y170" s="44"/>
      <c r="Z170" s="44"/>
      <c r="AA170" s="44"/>
      <c r="AB170" s="44"/>
    </row>
    <row r="171" spans="1:28" ht="15" hidden="1" customHeight="1" x14ac:dyDescent="0.25">
      <c r="A171" s="119" t="s">
        <v>64</v>
      </c>
      <c r="B171" s="120"/>
      <c r="C171" s="120"/>
      <c r="D171" s="120"/>
      <c r="E171" s="120"/>
      <c r="F171" s="120"/>
      <c r="G171" s="121"/>
      <c r="H171" s="52"/>
      <c r="I171" s="25" t="s">
        <v>1436</v>
      </c>
      <c r="J171" s="25" t="s">
        <v>1437</v>
      </c>
      <c r="K171" s="25" t="s">
        <v>1438</v>
      </c>
      <c r="L171" s="25" t="s">
        <v>1439</v>
      </c>
      <c r="M171" s="25" t="s">
        <v>55</v>
      </c>
      <c r="N171" s="25" t="s">
        <v>1436</v>
      </c>
      <c r="O171" s="25" t="s">
        <v>1437</v>
      </c>
      <c r="P171" s="25" t="s">
        <v>1438</v>
      </c>
      <c r="Q171" s="25" t="s">
        <v>1439</v>
      </c>
      <c r="R171" s="25" t="s">
        <v>55</v>
      </c>
      <c r="S171" s="54"/>
      <c r="T171" s="44"/>
      <c r="U171" s="44"/>
      <c r="V171" s="44"/>
      <c r="W171" s="44"/>
      <c r="X171" s="44"/>
      <c r="Y171" s="44"/>
      <c r="Z171" s="44"/>
      <c r="AA171" s="44"/>
      <c r="AB171" s="44"/>
    </row>
    <row r="172" spans="1:28" ht="13.5" hidden="1" customHeight="1" x14ac:dyDescent="0.25">
      <c r="A172" s="122"/>
      <c r="B172" s="123"/>
      <c r="C172" s="123"/>
      <c r="D172" s="123"/>
      <c r="E172" s="123"/>
      <c r="F172" s="123"/>
      <c r="G172" s="124"/>
      <c r="H172" s="53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54"/>
      <c r="T172" s="44"/>
      <c r="U172" s="44"/>
      <c r="V172" s="44"/>
      <c r="W172" s="44"/>
      <c r="X172" s="44"/>
      <c r="Y172" s="44"/>
      <c r="Z172" s="44"/>
      <c r="AA172" s="44"/>
      <c r="AB172" s="44"/>
    </row>
    <row r="173" spans="1:28" ht="25.5" hidden="1" x14ac:dyDescent="0.25">
      <c r="A173" s="10" t="s">
        <v>1</v>
      </c>
      <c r="B173" s="10" t="s">
        <v>1428</v>
      </c>
      <c r="C173" s="23" t="s">
        <v>1446</v>
      </c>
      <c r="D173" s="10" t="s">
        <v>2</v>
      </c>
      <c r="E173" s="10" t="s">
        <v>3</v>
      </c>
      <c r="F173" s="10" t="s">
        <v>4</v>
      </c>
      <c r="G173" s="10" t="s">
        <v>5</v>
      </c>
      <c r="H173" s="23" t="s">
        <v>1433</v>
      </c>
      <c r="I173" s="23" t="s">
        <v>1434</v>
      </c>
      <c r="J173" s="23" t="s">
        <v>1434</v>
      </c>
      <c r="K173" s="23" t="s">
        <v>1434</v>
      </c>
      <c r="L173" s="23" t="s">
        <v>1434</v>
      </c>
      <c r="M173" s="23" t="s">
        <v>1443</v>
      </c>
      <c r="N173" s="23" t="s">
        <v>1448</v>
      </c>
      <c r="O173" s="23" t="s">
        <v>1448</v>
      </c>
      <c r="P173" s="23" t="s">
        <v>1448</v>
      </c>
      <c r="Q173" s="23" t="s">
        <v>1448</v>
      </c>
      <c r="R173" s="23" t="s">
        <v>1449</v>
      </c>
      <c r="S173" s="54"/>
    </row>
    <row r="174" spans="1:28" ht="63.75" hidden="1" x14ac:dyDescent="0.25">
      <c r="A174" s="66" t="s">
        <v>354</v>
      </c>
      <c r="B174" s="28"/>
      <c r="C174" s="28"/>
      <c r="D174" s="4" t="s">
        <v>355</v>
      </c>
      <c r="E174" s="4" t="s">
        <v>170</v>
      </c>
      <c r="F174" s="4" t="s">
        <v>356</v>
      </c>
      <c r="G174" s="4" t="s">
        <v>357</v>
      </c>
      <c r="H174" s="27"/>
      <c r="I174" s="27"/>
      <c r="J174" s="27"/>
      <c r="K174" s="27"/>
      <c r="L174" s="27"/>
      <c r="M174" s="24" t="e">
        <f>IF(SUM(I174:L174)=H174,SUM(I174:L174)*100%/H174,"Dato erroneo no cumple con la meta Absoluta (establecida)")</f>
        <v>#DIV/0!</v>
      </c>
      <c r="N174" s="27"/>
      <c r="O174" s="27"/>
      <c r="P174" s="27"/>
      <c r="Q174" s="27"/>
      <c r="R174" s="24" t="e">
        <f>SUM(N174:Q174)*100%/H174</f>
        <v>#DIV/0!</v>
      </c>
      <c r="S174" s="15"/>
    </row>
    <row r="175" spans="1:28" ht="63.75" hidden="1" x14ac:dyDescent="0.25">
      <c r="A175" s="67"/>
      <c r="B175" s="28"/>
      <c r="C175" s="28"/>
      <c r="D175" s="4" t="s">
        <v>358</v>
      </c>
      <c r="E175" s="4" t="s">
        <v>359</v>
      </c>
      <c r="F175" s="4" t="s">
        <v>360</v>
      </c>
      <c r="G175" s="4" t="s">
        <v>361</v>
      </c>
      <c r="H175" s="27"/>
      <c r="I175" s="27"/>
      <c r="J175" s="27"/>
      <c r="K175" s="27"/>
      <c r="L175" s="27"/>
      <c r="M175" s="24" t="e">
        <f t="shared" ref="M175:M181" si="32">IF(SUM(I175:L175)=H175,SUM(I175:L175)*100%/H175,"Dato erroneo no cumple con la meta Absoluta (establecida)")</f>
        <v>#DIV/0!</v>
      </c>
      <c r="N175" s="27"/>
      <c r="O175" s="27"/>
      <c r="P175" s="27"/>
      <c r="Q175" s="27"/>
      <c r="R175" s="24" t="e">
        <f t="shared" ref="R175:R181" si="33">SUM(N175:Q175)*100%/H175</f>
        <v>#DIV/0!</v>
      </c>
      <c r="S175" s="15"/>
    </row>
    <row r="176" spans="1:28" ht="51" hidden="1" x14ac:dyDescent="0.25">
      <c r="A176" s="67"/>
      <c r="B176" s="28"/>
      <c r="C176" s="28"/>
      <c r="D176" s="4" t="s">
        <v>362</v>
      </c>
      <c r="E176" s="4" t="s">
        <v>363</v>
      </c>
      <c r="F176" s="4" t="s">
        <v>364</v>
      </c>
      <c r="G176" s="4" t="s">
        <v>365</v>
      </c>
      <c r="H176" s="27"/>
      <c r="I176" s="27"/>
      <c r="J176" s="27"/>
      <c r="K176" s="27"/>
      <c r="L176" s="27"/>
      <c r="M176" s="24" t="e">
        <f t="shared" si="32"/>
        <v>#DIV/0!</v>
      </c>
      <c r="N176" s="27"/>
      <c r="O176" s="27"/>
      <c r="P176" s="27"/>
      <c r="Q176" s="27"/>
      <c r="R176" s="24" t="e">
        <f t="shared" si="33"/>
        <v>#DIV/0!</v>
      </c>
      <c r="S176" s="15"/>
    </row>
    <row r="177" spans="1:28" ht="76.5" hidden="1" x14ac:dyDescent="0.25">
      <c r="A177" s="67"/>
      <c r="B177" s="28"/>
      <c r="C177" s="28"/>
      <c r="D177" s="4" t="s">
        <v>366</v>
      </c>
      <c r="E177" s="4" t="s">
        <v>367</v>
      </c>
      <c r="F177" s="4" t="s">
        <v>368</v>
      </c>
      <c r="G177" s="4" t="s">
        <v>369</v>
      </c>
      <c r="H177" s="27"/>
      <c r="I177" s="27"/>
      <c r="J177" s="27"/>
      <c r="K177" s="27"/>
      <c r="L177" s="27"/>
      <c r="M177" s="24" t="e">
        <f t="shared" si="32"/>
        <v>#DIV/0!</v>
      </c>
      <c r="N177" s="27"/>
      <c r="O177" s="27"/>
      <c r="P177" s="27"/>
      <c r="Q177" s="27"/>
      <c r="R177" s="24" t="e">
        <f t="shared" si="33"/>
        <v>#DIV/0!</v>
      </c>
      <c r="S177" s="15"/>
    </row>
    <row r="178" spans="1:28" ht="51" hidden="1" x14ac:dyDescent="0.25">
      <c r="A178" s="67"/>
      <c r="B178" s="28"/>
      <c r="C178" s="28"/>
      <c r="D178" s="4" t="s">
        <v>1422</v>
      </c>
      <c r="E178" s="4" t="s">
        <v>370</v>
      </c>
      <c r="F178" s="4" t="s">
        <v>371</v>
      </c>
      <c r="G178" s="4" t="s">
        <v>372</v>
      </c>
      <c r="H178" s="27"/>
      <c r="I178" s="27"/>
      <c r="J178" s="27"/>
      <c r="K178" s="27"/>
      <c r="L178" s="27"/>
      <c r="M178" s="24" t="e">
        <f t="shared" si="32"/>
        <v>#DIV/0!</v>
      </c>
      <c r="N178" s="27"/>
      <c r="O178" s="27"/>
      <c r="P178" s="27"/>
      <c r="Q178" s="27"/>
      <c r="R178" s="24" t="e">
        <f t="shared" si="33"/>
        <v>#DIV/0!</v>
      </c>
      <c r="S178" s="15"/>
    </row>
    <row r="179" spans="1:28" ht="38.25" hidden="1" x14ac:dyDescent="0.25">
      <c r="A179" s="67"/>
      <c r="B179" s="28"/>
      <c r="C179" s="28"/>
      <c r="D179" s="4" t="s">
        <v>373</v>
      </c>
      <c r="E179" s="4" t="s">
        <v>374</v>
      </c>
      <c r="F179" s="4" t="s">
        <v>65</v>
      </c>
      <c r="G179" s="4" t="s">
        <v>372</v>
      </c>
      <c r="H179" s="27"/>
      <c r="I179" s="27"/>
      <c r="J179" s="27"/>
      <c r="K179" s="27"/>
      <c r="L179" s="27"/>
      <c r="M179" s="24" t="e">
        <f t="shared" si="32"/>
        <v>#DIV/0!</v>
      </c>
      <c r="N179" s="27"/>
      <c r="O179" s="27"/>
      <c r="P179" s="27"/>
      <c r="Q179" s="27"/>
      <c r="R179" s="24" t="e">
        <f t="shared" si="33"/>
        <v>#DIV/0!</v>
      </c>
      <c r="S179" s="15"/>
    </row>
    <row r="180" spans="1:28" ht="51" hidden="1" x14ac:dyDescent="0.25">
      <c r="A180" s="67"/>
      <c r="B180" s="28"/>
      <c r="C180" s="28"/>
      <c r="D180" s="4" t="s">
        <v>375</v>
      </c>
      <c r="E180" s="4" t="s">
        <v>370</v>
      </c>
      <c r="F180" s="4" t="s">
        <v>376</v>
      </c>
      <c r="G180" s="4" t="s">
        <v>372</v>
      </c>
      <c r="H180" s="27"/>
      <c r="I180" s="27"/>
      <c r="J180" s="27"/>
      <c r="K180" s="27"/>
      <c r="L180" s="27"/>
      <c r="M180" s="24" t="e">
        <f t="shared" si="32"/>
        <v>#DIV/0!</v>
      </c>
      <c r="N180" s="27"/>
      <c r="O180" s="27"/>
      <c r="P180" s="27"/>
      <c r="Q180" s="27"/>
      <c r="R180" s="24" t="e">
        <f t="shared" si="33"/>
        <v>#DIV/0!</v>
      </c>
      <c r="S180" s="15"/>
    </row>
    <row r="181" spans="1:28" ht="63.75" hidden="1" x14ac:dyDescent="0.25">
      <c r="A181" s="68"/>
      <c r="B181" s="28"/>
      <c r="C181" s="28"/>
      <c r="D181" s="4" t="s">
        <v>377</v>
      </c>
      <c r="E181" s="4" t="s">
        <v>370</v>
      </c>
      <c r="F181" s="4" t="s">
        <v>378</v>
      </c>
      <c r="G181" s="4" t="s">
        <v>372</v>
      </c>
      <c r="H181" s="27"/>
      <c r="I181" s="27"/>
      <c r="J181" s="27"/>
      <c r="K181" s="27"/>
      <c r="L181" s="27"/>
      <c r="M181" s="24" t="e">
        <f t="shared" si="32"/>
        <v>#DIV/0!</v>
      </c>
      <c r="N181" s="27"/>
      <c r="O181" s="27"/>
      <c r="P181" s="27"/>
      <c r="Q181" s="27"/>
      <c r="R181" s="24" t="e">
        <f t="shared" si="33"/>
        <v>#DIV/0!</v>
      </c>
      <c r="S181" s="15"/>
    </row>
    <row r="182" spans="1:28" ht="15" hidden="1" x14ac:dyDescent="0.25">
      <c r="A182" s="35" t="s">
        <v>379</v>
      </c>
      <c r="B182" s="35"/>
      <c r="C182" s="35"/>
      <c r="D182" s="35"/>
      <c r="E182" s="35"/>
      <c r="F182" s="35"/>
      <c r="G182" s="35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</row>
    <row r="183" spans="1:28" ht="15" hidden="1" x14ac:dyDescent="0.25">
      <c r="A183" s="36"/>
      <c r="B183" s="36"/>
      <c r="C183" s="36"/>
      <c r="D183" s="36"/>
      <c r="E183" s="36"/>
      <c r="F183" s="36"/>
      <c r="G183" s="36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</row>
    <row r="184" spans="1:28" ht="15" hidden="1" x14ac:dyDescent="0.25">
      <c r="A184" s="36"/>
      <c r="B184" s="36"/>
      <c r="C184" s="36"/>
      <c r="D184" s="36"/>
      <c r="E184" s="36"/>
      <c r="F184" s="36"/>
      <c r="G184" s="36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</row>
    <row r="185" spans="1:28" ht="15" hidden="1" x14ac:dyDescent="0.25">
      <c r="A185" s="36"/>
      <c r="B185" s="36"/>
      <c r="C185" s="36"/>
      <c r="D185" s="36"/>
      <c r="E185" s="36"/>
      <c r="F185" s="36"/>
      <c r="G185" s="36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</row>
    <row r="186" spans="1:28" ht="15" hidden="1" x14ac:dyDescent="0.25">
      <c r="A186" s="36"/>
      <c r="B186" s="36"/>
      <c r="C186" s="36"/>
      <c r="D186" s="36"/>
      <c r="E186" s="36"/>
      <c r="F186" s="36"/>
      <c r="G186" s="3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</row>
    <row r="187" spans="1:28" ht="15" hidden="1" x14ac:dyDescent="0.25">
      <c r="A187" s="36"/>
      <c r="B187" s="36"/>
      <c r="C187" s="36"/>
      <c r="D187" s="36"/>
      <c r="E187" s="36"/>
      <c r="F187" s="36"/>
      <c r="G187" s="36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</row>
    <row r="188" spans="1:28" ht="15" hidden="1" x14ac:dyDescent="0.25">
      <c r="A188" s="36"/>
      <c r="B188" s="36"/>
      <c r="C188" s="36"/>
      <c r="D188" s="36"/>
      <c r="E188" s="36"/>
      <c r="F188" s="36"/>
      <c r="G188" s="36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</row>
    <row r="189" spans="1:28" ht="15" hidden="1" x14ac:dyDescent="0.25"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</row>
    <row r="190" spans="1:28" hidden="1" x14ac:dyDescent="0.25"/>
    <row r="191" spans="1:28" ht="38.25" hidden="1" x14ac:dyDescent="0.25">
      <c r="A191" s="63" t="s">
        <v>120</v>
      </c>
      <c r="B191" s="64"/>
      <c r="C191" s="64"/>
      <c r="D191" s="64"/>
      <c r="E191" s="64"/>
      <c r="F191" s="64"/>
      <c r="G191" s="65"/>
      <c r="H191" s="51">
        <v>2025</v>
      </c>
      <c r="I191" s="25" t="s">
        <v>1435</v>
      </c>
      <c r="J191" s="25" t="s">
        <v>1440</v>
      </c>
      <c r="K191" s="25" t="s">
        <v>1441</v>
      </c>
      <c r="L191" s="25" t="s">
        <v>1442</v>
      </c>
      <c r="M191" s="25" t="s">
        <v>1444</v>
      </c>
      <c r="N191" s="25" t="s">
        <v>1435</v>
      </c>
      <c r="O191" s="25" t="s">
        <v>1440</v>
      </c>
      <c r="P191" s="25" t="s">
        <v>1441</v>
      </c>
      <c r="Q191" s="25" t="s">
        <v>1442</v>
      </c>
      <c r="R191" s="25" t="s">
        <v>1445</v>
      </c>
      <c r="S191" s="54" t="s">
        <v>1447</v>
      </c>
      <c r="T191" s="44"/>
      <c r="U191" s="44"/>
      <c r="V191" s="44"/>
      <c r="W191" s="44"/>
      <c r="X191" s="44"/>
      <c r="Y191" s="44"/>
      <c r="Z191" s="44"/>
      <c r="AA191" s="44"/>
      <c r="AB191" s="44"/>
    </row>
    <row r="192" spans="1:28" ht="15" hidden="1" customHeight="1" x14ac:dyDescent="0.25">
      <c r="A192" s="120" t="s">
        <v>66</v>
      </c>
      <c r="B192" s="120"/>
      <c r="C192" s="120"/>
      <c r="D192" s="120"/>
      <c r="E192" s="120"/>
      <c r="F192" s="120"/>
      <c r="G192" s="121"/>
      <c r="H192" s="52"/>
      <c r="I192" s="25" t="s">
        <v>1436</v>
      </c>
      <c r="J192" s="25" t="s">
        <v>1437</v>
      </c>
      <c r="K192" s="25" t="s">
        <v>1438</v>
      </c>
      <c r="L192" s="25" t="s">
        <v>1439</v>
      </c>
      <c r="M192" s="25" t="s">
        <v>55</v>
      </c>
      <c r="N192" s="25" t="s">
        <v>1436</v>
      </c>
      <c r="O192" s="25" t="s">
        <v>1437</v>
      </c>
      <c r="P192" s="25" t="s">
        <v>1438</v>
      </c>
      <c r="Q192" s="25" t="s">
        <v>1439</v>
      </c>
      <c r="R192" s="25" t="s">
        <v>55</v>
      </c>
      <c r="S192" s="54"/>
      <c r="T192" s="44"/>
      <c r="U192" s="44"/>
      <c r="V192" s="44"/>
      <c r="W192" s="44"/>
      <c r="X192" s="44"/>
      <c r="Y192" s="44"/>
      <c r="Z192" s="44"/>
      <c r="AA192" s="44"/>
      <c r="AB192" s="44"/>
    </row>
    <row r="193" spans="1:28" ht="13.5" hidden="1" customHeight="1" x14ac:dyDescent="0.25">
      <c r="A193" s="125"/>
      <c r="B193" s="125"/>
      <c r="C193" s="125"/>
      <c r="D193" s="125"/>
      <c r="E193" s="125"/>
      <c r="F193" s="125"/>
      <c r="G193" s="126"/>
      <c r="H193" s="53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54"/>
      <c r="T193" s="44"/>
      <c r="U193" s="44"/>
      <c r="V193" s="44"/>
      <c r="W193" s="44"/>
      <c r="X193" s="44"/>
      <c r="Y193" s="44"/>
      <c r="Z193" s="44"/>
      <c r="AA193" s="44"/>
      <c r="AB193" s="44"/>
    </row>
    <row r="194" spans="1:28" ht="25.5" hidden="1" x14ac:dyDescent="0.25">
      <c r="A194" s="10" t="s">
        <v>1</v>
      </c>
      <c r="B194" s="10" t="s">
        <v>1428</v>
      </c>
      <c r="C194" s="23" t="s">
        <v>1446</v>
      </c>
      <c r="D194" s="10" t="s">
        <v>2</v>
      </c>
      <c r="E194" s="10" t="s">
        <v>3</v>
      </c>
      <c r="F194" s="10" t="s">
        <v>4</v>
      </c>
      <c r="G194" s="10" t="s">
        <v>5</v>
      </c>
      <c r="H194" s="23" t="s">
        <v>1433</v>
      </c>
      <c r="I194" s="23" t="s">
        <v>1434</v>
      </c>
      <c r="J194" s="23" t="s">
        <v>1434</v>
      </c>
      <c r="K194" s="23" t="s">
        <v>1434</v>
      </c>
      <c r="L194" s="23" t="s">
        <v>1434</v>
      </c>
      <c r="M194" s="23" t="s">
        <v>1443</v>
      </c>
      <c r="N194" s="23" t="s">
        <v>1448</v>
      </c>
      <c r="O194" s="23" t="s">
        <v>1448</v>
      </c>
      <c r="P194" s="23" t="s">
        <v>1448</v>
      </c>
      <c r="Q194" s="23" t="s">
        <v>1448</v>
      </c>
      <c r="R194" s="23" t="s">
        <v>1449</v>
      </c>
      <c r="S194" s="54"/>
    </row>
    <row r="195" spans="1:28" ht="51" hidden="1" customHeight="1" x14ac:dyDescent="0.25">
      <c r="A195" s="66" t="s">
        <v>380</v>
      </c>
      <c r="B195" s="28"/>
      <c r="C195" s="28"/>
      <c r="D195" s="4" t="s">
        <v>381</v>
      </c>
      <c r="E195" s="4" t="s">
        <v>382</v>
      </c>
      <c r="F195" s="4" t="s">
        <v>383</v>
      </c>
      <c r="G195" s="4" t="s">
        <v>384</v>
      </c>
      <c r="H195" s="27"/>
      <c r="I195" s="27"/>
      <c r="J195" s="27"/>
      <c r="K195" s="27"/>
      <c r="L195" s="27"/>
      <c r="M195" s="24" t="e">
        <f>IF(SUM(I195:L195)=H195,SUM(I195:L195)*100%/H195,"Dato erroneo no cumple con la meta Absoluta (establecida)")</f>
        <v>#DIV/0!</v>
      </c>
      <c r="N195" s="27"/>
      <c r="O195" s="27"/>
      <c r="P195" s="27"/>
      <c r="Q195" s="27"/>
      <c r="R195" s="24" t="e">
        <f>SUM(N195:Q195)*100%/H195</f>
        <v>#DIV/0!</v>
      </c>
      <c r="S195" s="15"/>
    </row>
    <row r="196" spans="1:28" ht="63.75" hidden="1" x14ac:dyDescent="0.25">
      <c r="A196" s="67"/>
      <c r="B196" s="28"/>
      <c r="C196" s="28"/>
      <c r="D196" s="4" t="s">
        <v>385</v>
      </c>
      <c r="E196" s="4" t="s">
        <v>386</v>
      </c>
      <c r="F196" s="4" t="s">
        <v>387</v>
      </c>
      <c r="G196" s="4" t="s">
        <v>388</v>
      </c>
      <c r="H196" s="27"/>
      <c r="I196" s="27"/>
      <c r="J196" s="27"/>
      <c r="K196" s="27"/>
      <c r="L196" s="27"/>
      <c r="M196" s="24" t="e">
        <f t="shared" ref="M196:M198" si="34">IF(SUM(I196:L196)=H196,SUM(I196:L196)*100%/H196,"Dato erroneo no cumple con la meta Absoluta (establecida)")</f>
        <v>#DIV/0!</v>
      </c>
      <c r="N196" s="27"/>
      <c r="O196" s="27"/>
      <c r="P196" s="27"/>
      <c r="Q196" s="27"/>
      <c r="R196" s="24" t="e">
        <f t="shared" ref="R196:R198" si="35">SUM(N196:Q196)*100%/H196</f>
        <v>#DIV/0!</v>
      </c>
      <c r="S196" s="15"/>
    </row>
    <row r="197" spans="1:28" ht="89.25" hidden="1" x14ac:dyDescent="0.25">
      <c r="A197" s="67"/>
      <c r="B197" s="28"/>
      <c r="C197" s="28"/>
      <c r="D197" s="4" t="s">
        <v>389</v>
      </c>
      <c r="E197" s="4" t="s">
        <v>390</v>
      </c>
      <c r="F197" s="4" t="s">
        <v>391</v>
      </c>
      <c r="G197" s="4" t="s">
        <v>392</v>
      </c>
      <c r="H197" s="27"/>
      <c r="I197" s="27"/>
      <c r="J197" s="27"/>
      <c r="K197" s="27"/>
      <c r="L197" s="27"/>
      <c r="M197" s="24" t="e">
        <f t="shared" si="34"/>
        <v>#DIV/0!</v>
      </c>
      <c r="N197" s="27"/>
      <c r="O197" s="27"/>
      <c r="P197" s="27"/>
      <c r="Q197" s="27"/>
      <c r="R197" s="24" t="e">
        <f t="shared" si="35"/>
        <v>#DIV/0!</v>
      </c>
      <c r="S197" s="15"/>
    </row>
    <row r="198" spans="1:28" ht="76.5" hidden="1" x14ac:dyDescent="0.25">
      <c r="A198" s="67"/>
      <c r="B198" s="28"/>
      <c r="C198" s="28"/>
      <c r="D198" s="4" t="s">
        <v>393</v>
      </c>
      <c r="E198" s="4" t="s">
        <v>394</v>
      </c>
      <c r="F198" s="4" t="s">
        <v>395</v>
      </c>
      <c r="G198" s="4" t="s">
        <v>396</v>
      </c>
      <c r="H198" s="27"/>
      <c r="I198" s="27"/>
      <c r="J198" s="27"/>
      <c r="K198" s="27"/>
      <c r="L198" s="27"/>
      <c r="M198" s="24" t="e">
        <f t="shared" si="34"/>
        <v>#DIV/0!</v>
      </c>
      <c r="N198" s="27"/>
      <c r="O198" s="27"/>
      <c r="P198" s="27"/>
      <c r="Q198" s="27"/>
      <c r="R198" s="24" t="e">
        <f t="shared" si="35"/>
        <v>#DIV/0!</v>
      </c>
      <c r="S198" s="15"/>
    </row>
    <row r="199" spans="1:28" ht="63.75" hidden="1" x14ac:dyDescent="0.25">
      <c r="A199" s="67"/>
      <c r="B199" s="28"/>
      <c r="C199" s="28"/>
      <c r="D199" s="4" t="s">
        <v>1423</v>
      </c>
      <c r="E199" s="4" t="s">
        <v>397</v>
      </c>
      <c r="F199" s="4" t="s">
        <v>67</v>
      </c>
      <c r="G199" s="4" t="s">
        <v>398</v>
      </c>
      <c r="H199" s="27"/>
      <c r="I199" s="27"/>
      <c r="J199" s="27"/>
      <c r="K199" s="27"/>
      <c r="L199" s="27"/>
      <c r="M199" s="24" t="e">
        <f t="shared" ref="M199:M201" si="36">IF(SUM(I199:L199)=H199,SUM(I199:L199)*100%/H199,"Dato erroneo no cumple con la meta Absoluta (establecida)")</f>
        <v>#DIV/0!</v>
      </c>
      <c r="N199" s="27"/>
      <c r="O199" s="27"/>
      <c r="P199" s="27"/>
      <c r="Q199" s="27"/>
      <c r="R199" s="24" t="e">
        <f t="shared" ref="R199:R201" si="37">SUM(N199:Q199)*100%/H199</f>
        <v>#DIV/0!</v>
      </c>
      <c r="S199" s="15"/>
    </row>
    <row r="200" spans="1:28" ht="38.25" hidden="1" x14ac:dyDescent="0.25">
      <c r="A200" s="67"/>
      <c r="B200" s="28"/>
      <c r="C200" s="28"/>
      <c r="D200" s="4" t="s">
        <v>399</v>
      </c>
      <c r="E200" s="4" t="s">
        <v>400</v>
      </c>
      <c r="F200" s="4" t="s">
        <v>401</v>
      </c>
      <c r="G200" s="4" t="s">
        <v>402</v>
      </c>
      <c r="H200" s="27"/>
      <c r="I200" s="27"/>
      <c r="J200" s="27"/>
      <c r="K200" s="27"/>
      <c r="L200" s="27"/>
      <c r="M200" s="24" t="e">
        <f t="shared" si="36"/>
        <v>#DIV/0!</v>
      </c>
      <c r="N200" s="27"/>
      <c r="O200" s="27"/>
      <c r="P200" s="27"/>
      <c r="Q200" s="27"/>
      <c r="R200" s="24" t="e">
        <f t="shared" si="37"/>
        <v>#DIV/0!</v>
      </c>
      <c r="S200" s="15"/>
    </row>
    <row r="201" spans="1:28" ht="38.25" hidden="1" x14ac:dyDescent="0.25">
      <c r="A201" s="68"/>
      <c r="B201" s="28"/>
      <c r="C201" s="28"/>
      <c r="D201" s="4" t="s">
        <v>403</v>
      </c>
      <c r="E201" s="4" t="s">
        <v>404</v>
      </c>
      <c r="F201" s="4" t="s">
        <v>405</v>
      </c>
      <c r="G201" s="4" t="s">
        <v>406</v>
      </c>
      <c r="H201" s="27"/>
      <c r="I201" s="27"/>
      <c r="J201" s="27"/>
      <c r="K201" s="27"/>
      <c r="L201" s="27"/>
      <c r="M201" s="24" t="e">
        <f t="shared" si="36"/>
        <v>#DIV/0!</v>
      </c>
      <c r="N201" s="27"/>
      <c r="O201" s="27"/>
      <c r="P201" s="27"/>
      <c r="Q201" s="27"/>
      <c r="R201" s="24" t="e">
        <f t="shared" si="37"/>
        <v>#DIV/0!</v>
      </c>
      <c r="S201" s="15"/>
    </row>
    <row r="202" spans="1:28" ht="15" hidden="1" x14ac:dyDescent="0.25">
      <c r="A202" s="35" t="s">
        <v>407</v>
      </c>
      <c r="D202" s="35"/>
      <c r="E202" s="35"/>
      <c r="F202" s="35"/>
      <c r="G202" s="35"/>
      <c r="H202"/>
      <c r="I202"/>
      <c r="J202"/>
      <c r="K202"/>
      <c r="L202"/>
      <c r="M202"/>
      <c r="N202"/>
      <c r="O202"/>
      <c r="P202"/>
      <c r="Q202"/>
      <c r="R202"/>
      <c r="S202"/>
    </row>
    <row r="203" spans="1:28" ht="15" hidden="1" x14ac:dyDescent="0.25">
      <c r="H203"/>
      <c r="I203"/>
      <c r="J203"/>
      <c r="K203"/>
      <c r="L203"/>
      <c r="M203"/>
      <c r="N203"/>
      <c r="O203"/>
      <c r="P203"/>
      <c r="Q203"/>
      <c r="R203"/>
      <c r="S203"/>
    </row>
    <row r="204" spans="1:28" ht="15" hidden="1" x14ac:dyDescent="0.25">
      <c r="H204"/>
      <c r="I204"/>
      <c r="J204"/>
      <c r="K204"/>
      <c r="L204"/>
      <c r="M204"/>
      <c r="N204"/>
      <c r="O204"/>
      <c r="P204"/>
      <c r="Q204"/>
      <c r="R204"/>
      <c r="S204"/>
    </row>
    <row r="205" spans="1:28" ht="15" hidden="1" x14ac:dyDescent="0.25">
      <c r="H205"/>
      <c r="I205"/>
      <c r="J205"/>
      <c r="K205"/>
      <c r="L205"/>
      <c r="M205"/>
      <c r="N205"/>
      <c r="O205"/>
      <c r="P205"/>
      <c r="Q205"/>
      <c r="R205"/>
      <c r="S205"/>
    </row>
    <row r="206" spans="1:28" ht="15" hidden="1" x14ac:dyDescent="0.25">
      <c r="H206"/>
      <c r="I206"/>
      <c r="J206"/>
      <c r="K206"/>
      <c r="L206"/>
      <c r="M206"/>
      <c r="N206"/>
      <c r="O206"/>
      <c r="P206"/>
      <c r="Q206"/>
      <c r="R206"/>
      <c r="S206"/>
    </row>
    <row r="207" spans="1:28" hidden="1" x14ac:dyDescent="0.25"/>
    <row r="208" spans="1:28" hidden="1" x14ac:dyDescent="0.25"/>
    <row r="209" spans="1:28" hidden="1" x14ac:dyDescent="0.25"/>
    <row r="210" spans="1:28" ht="38.25" hidden="1" x14ac:dyDescent="0.25">
      <c r="A210" s="63" t="s">
        <v>120</v>
      </c>
      <c r="B210" s="64"/>
      <c r="C210" s="64"/>
      <c r="D210" s="64"/>
      <c r="E210" s="64"/>
      <c r="F210" s="64"/>
      <c r="G210" s="65"/>
      <c r="H210" s="51">
        <v>2025</v>
      </c>
      <c r="I210" s="25" t="s">
        <v>1435</v>
      </c>
      <c r="J210" s="25" t="s">
        <v>1440</v>
      </c>
      <c r="K210" s="25" t="s">
        <v>1441</v>
      </c>
      <c r="L210" s="25" t="s">
        <v>1442</v>
      </c>
      <c r="M210" s="25" t="s">
        <v>1444</v>
      </c>
      <c r="N210" s="25" t="s">
        <v>1435</v>
      </c>
      <c r="O210" s="25" t="s">
        <v>1440</v>
      </c>
      <c r="P210" s="25" t="s">
        <v>1441</v>
      </c>
      <c r="Q210" s="25" t="s">
        <v>1442</v>
      </c>
      <c r="R210" s="25" t="s">
        <v>1445</v>
      </c>
      <c r="S210" s="54" t="s">
        <v>1447</v>
      </c>
      <c r="T210" s="44"/>
      <c r="U210" s="44"/>
      <c r="V210" s="44"/>
      <c r="W210" s="44"/>
      <c r="X210" s="44"/>
      <c r="Y210" s="44"/>
      <c r="Z210" s="44"/>
      <c r="AA210" s="44"/>
      <c r="AB210" s="44"/>
    </row>
    <row r="211" spans="1:28" ht="15" hidden="1" customHeight="1" x14ac:dyDescent="0.25">
      <c r="A211" s="57" t="s">
        <v>69</v>
      </c>
      <c r="B211" s="58"/>
      <c r="C211" s="58"/>
      <c r="D211" s="58"/>
      <c r="E211" s="58"/>
      <c r="F211" s="58"/>
      <c r="G211" s="59"/>
      <c r="H211" s="52"/>
      <c r="I211" s="25" t="s">
        <v>1436</v>
      </c>
      <c r="J211" s="25" t="s">
        <v>1437</v>
      </c>
      <c r="K211" s="25" t="s">
        <v>1438</v>
      </c>
      <c r="L211" s="25" t="s">
        <v>1439</v>
      </c>
      <c r="M211" s="25" t="s">
        <v>55</v>
      </c>
      <c r="N211" s="25" t="s">
        <v>1436</v>
      </c>
      <c r="O211" s="25" t="s">
        <v>1437</v>
      </c>
      <c r="P211" s="25" t="s">
        <v>1438</v>
      </c>
      <c r="Q211" s="25" t="s">
        <v>1439</v>
      </c>
      <c r="R211" s="25" t="s">
        <v>55</v>
      </c>
      <c r="S211" s="54"/>
      <c r="T211" s="44"/>
      <c r="U211" s="44"/>
      <c r="V211" s="44"/>
      <c r="W211" s="44"/>
      <c r="X211" s="44"/>
      <c r="Y211" s="44"/>
      <c r="Z211" s="44"/>
      <c r="AA211" s="44"/>
      <c r="AB211" s="44"/>
    </row>
    <row r="212" spans="1:28" ht="13.5" hidden="1" customHeight="1" x14ac:dyDescent="0.25">
      <c r="A212" s="60"/>
      <c r="B212" s="61"/>
      <c r="C212" s="61"/>
      <c r="D212" s="61"/>
      <c r="E212" s="61"/>
      <c r="F212" s="61"/>
      <c r="G212" s="62"/>
      <c r="H212" s="53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54"/>
      <c r="T212" s="44"/>
      <c r="U212" s="44"/>
      <c r="V212" s="44"/>
      <c r="W212" s="44"/>
      <c r="X212" s="44"/>
      <c r="Y212" s="44"/>
      <c r="Z212" s="44"/>
      <c r="AA212" s="44"/>
      <c r="AB212" s="44"/>
    </row>
    <row r="213" spans="1:28" ht="25.5" hidden="1" x14ac:dyDescent="0.25">
      <c r="A213" s="10" t="s">
        <v>1</v>
      </c>
      <c r="B213" s="10" t="s">
        <v>1428</v>
      </c>
      <c r="C213" s="23" t="s">
        <v>1446</v>
      </c>
      <c r="D213" s="10" t="s">
        <v>2</v>
      </c>
      <c r="E213" s="10" t="s">
        <v>3</v>
      </c>
      <c r="F213" s="10" t="s">
        <v>4</v>
      </c>
      <c r="G213" s="10" t="s">
        <v>5</v>
      </c>
      <c r="H213" s="23" t="s">
        <v>1433</v>
      </c>
      <c r="I213" s="23" t="s">
        <v>1434</v>
      </c>
      <c r="J213" s="23" t="s">
        <v>1434</v>
      </c>
      <c r="K213" s="23" t="s">
        <v>1434</v>
      </c>
      <c r="L213" s="23" t="s">
        <v>1434</v>
      </c>
      <c r="M213" s="23" t="s">
        <v>1443</v>
      </c>
      <c r="N213" s="23" t="s">
        <v>1448</v>
      </c>
      <c r="O213" s="23" t="s">
        <v>1448</v>
      </c>
      <c r="P213" s="23" t="s">
        <v>1448</v>
      </c>
      <c r="Q213" s="23" t="s">
        <v>1448</v>
      </c>
      <c r="R213" s="23" t="s">
        <v>1449</v>
      </c>
      <c r="S213" s="54"/>
    </row>
    <row r="214" spans="1:28" ht="63.75" hidden="1" x14ac:dyDescent="0.25">
      <c r="A214" s="66" t="s">
        <v>408</v>
      </c>
      <c r="B214" s="28"/>
      <c r="C214" s="28"/>
      <c r="D214" s="4" t="s">
        <v>409</v>
      </c>
      <c r="E214" s="4" t="s">
        <v>410</v>
      </c>
      <c r="F214" s="4" t="s">
        <v>411</v>
      </c>
      <c r="G214" s="4" t="s">
        <v>412</v>
      </c>
      <c r="H214" s="27"/>
      <c r="I214" s="27"/>
      <c r="J214" s="27"/>
      <c r="K214" s="27"/>
      <c r="L214" s="27"/>
      <c r="M214" s="24" t="e">
        <f>IF(SUM(I214:L214)=H214,SUM(I214:L214)*100%/H214,"Dato erroneo no cumple con la meta Absoluta (establecida)")</f>
        <v>#DIV/0!</v>
      </c>
      <c r="N214" s="27"/>
      <c r="O214" s="27"/>
      <c r="P214" s="27"/>
      <c r="Q214" s="27"/>
      <c r="R214" s="24" t="e">
        <f>SUM(N214:Q214)*100%/H214</f>
        <v>#DIV/0!</v>
      </c>
      <c r="S214" s="15"/>
    </row>
    <row r="215" spans="1:28" ht="51" hidden="1" x14ac:dyDescent="0.25">
      <c r="A215" s="67"/>
      <c r="B215" s="28"/>
      <c r="C215" s="28"/>
      <c r="D215" s="4" t="s">
        <v>413</v>
      </c>
      <c r="E215" s="4" t="s">
        <v>414</v>
      </c>
      <c r="F215" s="4" t="s">
        <v>415</v>
      </c>
      <c r="G215" s="4" t="s">
        <v>416</v>
      </c>
      <c r="H215" s="27"/>
      <c r="I215" s="27"/>
      <c r="J215" s="27"/>
      <c r="K215" s="27"/>
      <c r="L215" s="27"/>
      <c r="M215" s="24" t="e">
        <f t="shared" ref="M215:M218" si="38">IF(SUM(I215:L215)=H215,SUM(I215:L215)*100%/H215,"Dato erroneo no cumple con la meta Absoluta (establecida)")</f>
        <v>#DIV/0!</v>
      </c>
      <c r="N215" s="27"/>
      <c r="O215" s="27"/>
      <c r="P215" s="27"/>
      <c r="Q215" s="27"/>
      <c r="R215" s="24" t="e">
        <f t="shared" ref="R215:R218" si="39">SUM(N215:Q215)*100%/H215</f>
        <v>#DIV/0!</v>
      </c>
      <c r="S215" s="15"/>
    </row>
    <row r="216" spans="1:28" ht="76.5" hidden="1" x14ac:dyDescent="0.25">
      <c r="A216" s="67"/>
      <c r="B216" s="28"/>
      <c r="C216" s="28"/>
      <c r="D216" s="4" t="s">
        <v>417</v>
      </c>
      <c r="E216" s="4" t="s">
        <v>418</v>
      </c>
      <c r="F216" s="4" t="s">
        <v>419</v>
      </c>
      <c r="G216" s="4" t="s">
        <v>420</v>
      </c>
      <c r="H216" s="27"/>
      <c r="I216" s="27"/>
      <c r="J216" s="27"/>
      <c r="K216" s="27"/>
      <c r="L216" s="27"/>
      <c r="M216" s="24" t="e">
        <f t="shared" si="38"/>
        <v>#DIV/0!</v>
      </c>
      <c r="N216" s="27"/>
      <c r="O216" s="27"/>
      <c r="P216" s="27"/>
      <c r="Q216" s="27"/>
      <c r="R216" s="24" t="e">
        <f t="shared" si="39"/>
        <v>#DIV/0!</v>
      </c>
      <c r="S216" s="15"/>
    </row>
    <row r="217" spans="1:28" ht="76.5" hidden="1" x14ac:dyDescent="0.25">
      <c r="A217" s="67"/>
      <c r="B217" s="28"/>
      <c r="C217" s="28"/>
      <c r="D217" s="4" t="s">
        <v>421</v>
      </c>
      <c r="E217" s="4" t="s">
        <v>422</v>
      </c>
      <c r="F217" s="4" t="s">
        <v>423</v>
      </c>
      <c r="G217" s="4" t="s">
        <v>424</v>
      </c>
      <c r="H217" s="27"/>
      <c r="I217" s="27"/>
      <c r="J217" s="27"/>
      <c r="K217" s="27"/>
      <c r="L217" s="27"/>
      <c r="M217" s="24" t="e">
        <f t="shared" si="38"/>
        <v>#DIV/0!</v>
      </c>
      <c r="N217" s="27"/>
      <c r="O217" s="27"/>
      <c r="P217" s="27"/>
      <c r="Q217" s="27"/>
      <c r="R217" s="24" t="e">
        <f t="shared" si="39"/>
        <v>#DIV/0!</v>
      </c>
      <c r="S217" s="15"/>
    </row>
    <row r="218" spans="1:28" ht="76.5" hidden="1" x14ac:dyDescent="0.25">
      <c r="A218" s="68"/>
      <c r="B218" s="28"/>
      <c r="C218" s="28"/>
      <c r="D218" s="4" t="s">
        <v>425</v>
      </c>
      <c r="E218" s="4" t="s">
        <v>426</v>
      </c>
      <c r="F218" s="4" t="s">
        <v>427</v>
      </c>
      <c r="G218" s="4" t="s">
        <v>428</v>
      </c>
      <c r="H218" s="27"/>
      <c r="I218" s="27"/>
      <c r="J218" s="27"/>
      <c r="K218" s="27"/>
      <c r="L218" s="27"/>
      <c r="M218" s="24" t="e">
        <f t="shared" si="38"/>
        <v>#DIV/0!</v>
      </c>
      <c r="N218" s="27"/>
      <c r="O218" s="27"/>
      <c r="P218" s="27"/>
      <c r="Q218" s="27"/>
      <c r="R218" s="24" t="e">
        <f t="shared" si="39"/>
        <v>#DIV/0!</v>
      </c>
      <c r="S218" s="15"/>
    </row>
    <row r="219" spans="1:28" ht="15" hidden="1" x14ac:dyDescent="0.25">
      <c r="A219" s="35" t="s">
        <v>429</v>
      </c>
      <c r="B219" s="35"/>
      <c r="C219" s="35"/>
      <c r="D219" s="35"/>
      <c r="E219" s="35"/>
      <c r="F219" s="35"/>
      <c r="G219" s="35"/>
      <c r="H219"/>
      <c r="I219"/>
      <c r="J219"/>
      <c r="K219"/>
      <c r="L219"/>
      <c r="M219"/>
      <c r="N219"/>
      <c r="O219"/>
      <c r="P219"/>
      <c r="Q219"/>
      <c r="R219"/>
    </row>
    <row r="220" spans="1:28" ht="15" hidden="1" x14ac:dyDescent="0.25">
      <c r="A220" s="8"/>
      <c r="B220" s="8"/>
      <c r="C220" s="8"/>
      <c r="D220" s="8"/>
      <c r="E220" s="8"/>
      <c r="F220" s="8"/>
      <c r="G220" s="8"/>
      <c r="H220"/>
      <c r="I220"/>
      <c r="J220"/>
      <c r="K220"/>
      <c r="L220"/>
      <c r="M220"/>
      <c r="N220"/>
      <c r="O220"/>
      <c r="P220"/>
      <c r="Q220"/>
      <c r="R220"/>
    </row>
    <row r="221" spans="1:28" ht="15" hidden="1" x14ac:dyDescent="0.25">
      <c r="A221" s="8"/>
      <c r="B221" s="8"/>
      <c r="C221" s="8"/>
      <c r="D221" s="8"/>
      <c r="E221" s="8"/>
      <c r="F221" s="8"/>
      <c r="G221" s="8"/>
      <c r="H221"/>
      <c r="I221"/>
      <c r="J221"/>
      <c r="K221"/>
      <c r="L221"/>
      <c r="M221"/>
      <c r="N221"/>
      <c r="O221"/>
      <c r="P221"/>
      <c r="Q221"/>
      <c r="R221"/>
    </row>
    <row r="222" spans="1:28" ht="15" hidden="1" x14ac:dyDescent="0.25">
      <c r="A222" s="8"/>
      <c r="B222" s="8"/>
      <c r="C222" s="8"/>
      <c r="D222" s="8"/>
      <c r="E222" s="8"/>
      <c r="F222" s="8"/>
      <c r="G222" s="8"/>
      <c r="H222"/>
      <c r="I222"/>
      <c r="J222"/>
      <c r="K222"/>
      <c r="L222"/>
      <c r="M222"/>
      <c r="N222"/>
      <c r="O222"/>
      <c r="P222"/>
      <c r="Q222"/>
      <c r="R222"/>
    </row>
    <row r="223" spans="1:28" hidden="1" x14ac:dyDescent="0.25">
      <c r="A223" s="8"/>
      <c r="B223" s="8"/>
      <c r="C223" s="8"/>
      <c r="D223" s="8"/>
      <c r="E223" s="8"/>
      <c r="F223" s="8"/>
      <c r="G223" s="8"/>
    </row>
    <row r="224" spans="1:28" hidden="1" x14ac:dyDescent="0.25">
      <c r="A224" s="8"/>
      <c r="B224" s="8"/>
      <c r="C224" s="8"/>
      <c r="D224" s="8"/>
      <c r="E224" s="8"/>
      <c r="F224" s="8"/>
      <c r="G224" s="8"/>
    </row>
    <row r="225" spans="1:28" hidden="1" x14ac:dyDescent="0.25">
      <c r="A225" s="8"/>
      <c r="B225" s="8"/>
      <c r="C225" s="8"/>
      <c r="D225" s="8"/>
      <c r="E225" s="8"/>
      <c r="F225" s="8"/>
      <c r="G225" s="8"/>
    </row>
    <row r="226" spans="1:28" hidden="1" x14ac:dyDescent="0.25">
      <c r="A226" s="8"/>
      <c r="B226" s="8"/>
      <c r="C226" s="8"/>
      <c r="D226" s="8"/>
      <c r="E226" s="8"/>
      <c r="F226" s="8"/>
      <c r="G226" s="8"/>
    </row>
    <row r="227" spans="1:28" ht="38.25" hidden="1" x14ac:dyDescent="0.25">
      <c r="A227" s="63" t="s">
        <v>120</v>
      </c>
      <c r="B227" s="64"/>
      <c r="C227" s="64"/>
      <c r="D227" s="64"/>
      <c r="E227" s="64"/>
      <c r="F227" s="64"/>
      <c r="G227" s="65"/>
      <c r="H227" s="51">
        <v>2025</v>
      </c>
      <c r="I227" s="25" t="s">
        <v>1435</v>
      </c>
      <c r="J227" s="25" t="s">
        <v>1440</v>
      </c>
      <c r="K227" s="25" t="s">
        <v>1441</v>
      </c>
      <c r="L227" s="25" t="s">
        <v>1442</v>
      </c>
      <c r="M227" s="25" t="s">
        <v>1444</v>
      </c>
      <c r="N227" s="25" t="s">
        <v>1435</v>
      </c>
      <c r="O227" s="25" t="s">
        <v>1440</v>
      </c>
      <c r="P227" s="25" t="s">
        <v>1441</v>
      </c>
      <c r="Q227" s="25" t="s">
        <v>1442</v>
      </c>
      <c r="R227" s="25" t="s">
        <v>1445</v>
      </c>
      <c r="S227" s="54" t="s">
        <v>1447</v>
      </c>
      <c r="T227" s="44"/>
      <c r="U227" s="44"/>
      <c r="V227" s="44"/>
      <c r="W227" s="44"/>
      <c r="X227" s="44"/>
      <c r="Y227" s="44"/>
      <c r="Z227" s="44"/>
      <c r="AA227" s="44"/>
      <c r="AB227" s="44"/>
    </row>
    <row r="228" spans="1:28" ht="15" hidden="1" customHeight="1" x14ac:dyDescent="0.25">
      <c r="A228" s="57" t="s">
        <v>430</v>
      </c>
      <c r="B228" s="58"/>
      <c r="C228" s="58"/>
      <c r="D228" s="58"/>
      <c r="E228" s="58"/>
      <c r="F228" s="58"/>
      <c r="G228" s="59"/>
      <c r="H228" s="52"/>
      <c r="I228" s="25" t="s">
        <v>1436</v>
      </c>
      <c r="J228" s="25" t="s">
        <v>1437</v>
      </c>
      <c r="K228" s="25" t="s">
        <v>1438</v>
      </c>
      <c r="L228" s="25" t="s">
        <v>1439</v>
      </c>
      <c r="M228" s="25" t="s">
        <v>55</v>
      </c>
      <c r="N228" s="25" t="s">
        <v>1436</v>
      </c>
      <c r="O228" s="25" t="s">
        <v>1437</v>
      </c>
      <c r="P228" s="25" t="s">
        <v>1438</v>
      </c>
      <c r="Q228" s="25" t="s">
        <v>1439</v>
      </c>
      <c r="R228" s="25" t="s">
        <v>55</v>
      </c>
      <c r="S228" s="54"/>
      <c r="T228" s="44"/>
      <c r="U228" s="44"/>
      <c r="V228" s="44"/>
      <c r="W228" s="44"/>
      <c r="X228" s="44"/>
      <c r="Y228" s="44"/>
      <c r="Z228" s="44"/>
      <c r="AA228" s="44"/>
      <c r="AB228" s="44"/>
    </row>
    <row r="229" spans="1:28" ht="13.5" hidden="1" customHeight="1" x14ac:dyDescent="0.25">
      <c r="A229" s="60"/>
      <c r="B229" s="61"/>
      <c r="C229" s="61"/>
      <c r="D229" s="61"/>
      <c r="E229" s="61"/>
      <c r="F229" s="61"/>
      <c r="G229" s="62"/>
      <c r="H229" s="53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54"/>
      <c r="T229" s="44"/>
      <c r="U229" s="44"/>
      <c r="V229" s="44"/>
      <c r="W229" s="44"/>
      <c r="X229" s="44"/>
      <c r="Y229" s="44"/>
      <c r="Z229" s="44"/>
      <c r="AA229" s="44"/>
      <c r="AB229" s="44"/>
    </row>
    <row r="230" spans="1:28" ht="25.5" hidden="1" x14ac:dyDescent="0.25">
      <c r="A230" s="10" t="s">
        <v>1</v>
      </c>
      <c r="B230" s="10" t="s">
        <v>1428</v>
      </c>
      <c r="C230" s="23" t="s">
        <v>1446</v>
      </c>
      <c r="D230" s="10" t="s">
        <v>2</v>
      </c>
      <c r="E230" s="10" t="s">
        <v>3</v>
      </c>
      <c r="F230" s="10" t="s">
        <v>4</v>
      </c>
      <c r="G230" s="10" t="s">
        <v>5</v>
      </c>
      <c r="H230" s="23" t="s">
        <v>1433</v>
      </c>
      <c r="I230" s="23" t="s">
        <v>1434</v>
      </c>
      <c r="J230" s="23" t="s">
        <v>1434</v>
      </c>
      <c r="K230" s="23" t="s">
        <v>1434</v>
      </c>
      <c r="L230" s="23" t="s">
        <v>1434</v>
      </c>
      <c r="M230" s="23" t="s">
        <v>1443</v>
      </c>
      <c r="N230" s="23" t="s">
        <v>1448</v>
      </c>
      <c r="O230" s="23" t="s">
        <v>1448</v>
      </c>
      <c r="P230" s="23" t="s">
        <v>1448</v>
      </c>
      <c r="Q230" s="23" t="s">
        <v>1448</v>
      </c>
      <c r="R230" s="23" t="s">
        <v>1449</v>
      </c>
      <c r="S230" s="54"/>
    </row>
    <row r="231" spans="1:28" ht="76.5" hidden="1" x14ac:dyDescent="0.25">
      <c r="A231" s="66" t="s">
        <v>431</v>
      </c>
      <c r="B231" s="28"/>
      <c r="C231" s="28"/>
      <c r="D231" s="4" t="s">
        <v>432</v>
      </c>
      <c r="E231" s="4" t="s">
        <v>433</v>
      </c>
      <c r="F231" s="4" t="s">
        <v>434</v>
      </c>
      <c r="G231" s="4" t="s">
        <v>435</v>
      </c>
      <c r="H231" s="27"/>
      <c r="I231" s="27"/>
      <c r="J231" s="27"/>
      <c r="K231" s="27"/>
      <c r="L231" s="27"/>
      <c r="M231" s="24" t="e">
        <f>IF(SUM(I231:L231)=H231,SUM(I231:L231)*100%/H231,"Dato erroneo no cumple con la meta Absoluta (establecida)")</f>
        <v>#DIV/0!</v>
      </c>
      <c r="N231" s="27"/>
      <c r="O231" s="27"/>
      <c r="P231" s="27"/>
      <c r="Q231" s="27"/>
      <c r="R231" s="24" t="e">
        <f>SUM(N231:Q231)*100%/H231</f>
        <v>#DIV/0!</v>
      </c>
      <c r="S231" s="15"/>
    </row>
    <row r="232" spans="1:28" ht="76.5" hidden="1" x14ac:dyDescent="0.25">
      <c r="A232" s="67"/>
      <c r="B232" s="28"/>
      <c r="C232" s="28"/>
      <c r="D232" s="4" t="s">
        <v>436</v>
      </c>
      <c r="E232" s="4" t="s">
        <v>437</v>
      </c>
      <c r="F232" s="4" t="s">
        <v>438</v>
      </c>
      <c r="G232" s="4" t="s">
        <v>439</v>
      </c>
      <c r="H232" s="27"/>
      <c r="I232" s="27"/>
      <c r="J232" s="27"/>
      <c r="K232" s="27"/>
      <c r="L232" s="27"/>
      <c r="M232" s="24" t="e">
        <f t="shared" ref="M232:M234" si="40">IF(SUM(I232:L232)=H232,SUM(I232:L232)*100%/H232,"Dato erroneo no cumple con la meta Absoluta (establecida)")</f>
        <v>#DIV/0!</v>
      </c>
      <c r="N232" s="27"/>
      <c r="O232" s="27"/>
      <c r="P232" s="27"/>
      <c r="Q232" s="27"/>
      <c r="R232" s="24" t="e">
        <f t="shared" ref="R232:R234" si="41">SUM(N232:Q232)*100%/H232</f>
        <v>#DIV/0!</v>
      </c>
      <c r="S232" s="15"/>
    </row>
    <row r="233" spans="1:28" ht="89.25" hidden="1" x14ac:dyDescent="0.25">
      <c r="A233" s="67"/>
      <c r="B233" s="28"/>
      <c r="C233" s="28"/>
      <c r="D233" s="4" t="s">
        <v>440</v>
      </c>
      <c r="E233" s="4" t="s">
        <v>441</v>
      </c>
      <c r="F233" s="4" t="s">
        <v>442</v>
      </c>
      <c r="G233" s="4" t="s">
        <v>443</v>
      </c>
      <c r="H233" s="27"/>
      <c r="I233" s="27"/>
      <c r="J233" s="27"/>
      <c r="K233" s="27"/>
      <c r="L233" s="27"/>
      <c r="M233" s="24" t="e">
        <f t="shared" si="40"/>
        <v>#DIV/0!</v>
      </c>
      <c r="N233" s="27"/>
      <c r="O233" s="27"/>
      <c r="P233" s="27"/>
      <c r="Q233" s="27"/>
      <c r="R233" s="24" t="e">
        <f t="shared" si="41"/>
        <v>#DIV/0!</v>
      </c>
      <c r="S233" s="15"/>
    </row>
    <row r="234" spans="1:28" ht="76.5" hidden="1" x14ac:dyDescent="0.25">
      <c r="A234" s="68"/>
      <c r="B234" s="28"/>
      <c r="C234" s="28"/>
      <c r="D234" s="4" t="s">
        <v>444</v>
      </c>
      <c r="E234" s="4" t="s">
        <v>445</v>
      </c>
      <c r="F234" s="4" t="s">
        <v>446</v>
      </c>
      <c r="G234" s="4" t="s">
        <v>447</v>
      </c>
      <c r="H234" s="27"/>
      <c r="I234" s="27"/>
      <c r="J234" s="27"/>
      <c r="K234" s="27"/>
      <c r="L234" s="27"/>
      <c r="M234" s="24" t="e">
        <f t="shared" si="40"/>
        <v>#DIV/0!</v>
      </c>
      <c r="N234" s="27"/>
      <c r="O234" s="27"/>
      <c r="P234" s="27"/>
      <c r="Q234" s="27"/>
      <c r="R234" s="24" t="e">
        <f t="shared" si="41"/>
        <v>#DIV/0!</v>
      </c>
      <c r="S234" s="15"/>
    </row>
    <row r="235" spans="1:28" ht="15" hidden="1" x14ac:dyDescent="0.25">
      <c r="A235" s="35" t="s">
        <v>448</v>
      </c>
      <c r="B235" s="35"/>
      <c r="C235" s="35"/>
      <c r="D235" s="35"/>
      <c r="E235" s="35"/>
      <c r="F235" s="35"/>
      <c r="G235" s="35"/>
      <c r="H235"/>
      <c r="I235"/>
      <c r="J235"/>
      <c r="K235"/>
      <c r="L235"/>
      <c r="M235"/>
      <c r="N235"/>
      <c r="O235"/>
      <c r="P235"/>
      <c r="Q235"/>
      <c r="R235"/>
      <c r="S235"/>
      <c r="T235"/>
    </row>
    <row r="236" spans="1:28" ht="15" hidden="1" x14ac:dyDescent="0.25">
      <c r="H236"/>
      <c r="I236"/>
      <c r="J236"/>
      <c r="K236"/>
      <c r="L236"/>
      <c r="M236"/>
      <c r="N236"/>
      <c r="O236"/>
      <c r="P236"/>
      <c r="Q236"/>
      <c r="R236"/>
      <c r="S236"/>
      <c r="T236"/>
    </row>
    <row r="237" spans="1:28" ht="15" hidden="1" x14ac:dyDescent="0.25">
      <c r="H237"/>
      <c r="I237"/>
      <c r="J237"/>
      <c r="K237"/>
      <c r="L237"/>
      <c r="M237"/>
      <c r="N237"/>
      <c r="O237"/>
      <c r="P237"/>
      <c r="Q237"/>
      <c r="R237"/>
      <c r="S237"/>
      <c r="T237"/>
    </row>
    <row r="238" spans="1:28" hidden="1" x14ac:dyDescent="0.25"/>
    <row r="239" spans="1:28" hidden="1" x14ac:dyDescent="0.25"/>
    <row r="240" spans="1:28" hidden="1" x14ac:dyDescent="0.25"/>
  </sheetData>
  <mergeCells count="68">
    <mergeCell ref="A19:A22"/>
    <mergeCell ref="A34:A37"/>
    <mergeCell ref="A49:A53"/>
    <mergeCell ref="A65:A68"/>
    <mergeCell ref="A80:A84"/>
    <mergeCell ref="H1:H3"/>
    <mergeCell ref="S1:S4"/>
    <mergeCell ref="A1:G1"/>
    <mergeCell ref="A2:G3"/>
    <mergeCell ref="A96:A101"/>
    <mergeCell ref="A5:A8"/>
    <mergeCell ref="A61:G61"/>
    <mergeCell ref="A62:G63"/>
    <mergeCell ref="A76:G76"/>
    <mergeCell ref="A77:G78"/>
    <mergeCell ref="A45:G45"/>
    <mergeCell ref="A46:G47"/>
    <mergeCell ref="H45:H47"/>
    <mergeCell ref="S45:S48"/>
    <mergeCell ref="H61:H63"/>
    <mergeCell ref="S61:S64"/>
    <mergeCell ref="A110:G111"/>
    <mergeCell ref="S109:S112"/>
    <mergeCell ref="H191:H193"/>
    <mergeCell ref="S191:S194"/>
    <mergeCell ref="A191:G191"/>
    <mergeCell ref="A192:G193"/>
    <mergeCell ref="S126:S129"/>
    <mergeCell ref="A174:A181"/>
    <mergeCell ref="A113:A118"/>
    <mergeCell ref="A130:A135"/>
    <mergeCell ref="A147:A161"/>
    <mergeCell ref="A126:G126"/>
    <mergeCell ref="A127:G128"/>
    <mergeCell ref="H126:H128"/>
    <mergeCell ref="H143:H145"/>
    <mergeCell ref="A227:G227"/>
    <mergeCell ref="H76:H78"/>
    <mergeCell ref="S76:S79"/>
    <mergeCell ref="A15:G15"/>
    <mergeCell ref="A16:G17"/>
    <mergeCell ref="H15:H17"/>
    <mergeCell ref="S15:S18"/>
    <mergeCell ref="H30:H32"/>
    <mergeCell ref="S30:S33"/>
    <mergeCell ref="H210:H212"/>
    <mergeCell ref="H92:H94"/>
    <mergeCell ref="S92:S95"/>
    <mergeCell ref="A92:G92"/>
    <mergeCell ref="A93:G94"/>
    <mergeCell ref="H109:H111"/>
    <mergeCell ref="A109:G109"/>
    <mergeCell ref="A228:G229"/>
    <mergeCell ref="A231:A234"/>
    <mergeCell ref="A195:A201"/>
    <mergeCell ref="A214:A218"/>
    <mergeCell ref="S143:S146"/>
    <mergeCell ref="A143:G143"/>
    <mergeCell ref="A144:G145"/>
    <mergeCell ref="H170:H172"/>
    <mergeCell ref="S170:S173"/>
    <mergeCell ref="A171:G172"/>
    <mergeCell ref="A170:G170"/>
    <mergeCell ref="S210:S213"/>
    <mergeCell ref="A210:G210"/>
    <mergeCell ref="A211:G212"/>
    <mergeCell ref="H227:H229"/>
    <mergeCell ref="S227:S230"/>
  </mergeCells>
  <pageMargins left="0.7" right="0.7" top="0.75" bottom="0.75" header="0.3" footer="0.3"/>
  <pageSetup paperSize="9" orientation="portrait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29027-9DE5-441E-944A-BC7A5FB2926A}">
  <sheetPr>
    <pageSetUpPr fitToPage="1"/>
  </sheetPr>
  <dimension ref="A1:V169"/>
  <sheetViews>
    <sheetView tabSelected="1" topLeftCell="G120" zoomScale="85" zoomScaleNormal="85" workbookViewId="0">
      <selection activeCell="N164" sqref="N164"/>
    </sheetView>
  </sheetViews>
  <sheetFormatPr baseColWidth="10" defaultColWidth="11.42578125" defaultRowHeight="12.75" x14ac:dyDescent="0.2"/>
  <cols>
    <col min="1" max="1" width="51.140625" style="20" customWidth="1"/>
    <col min="2" max="3" width="11.42578125" style="20"/>
    <col min="4" max="4" width="21.7109375" style="20" customWidth="1"/>
    <col min="5" max="5" width="18.7109375" style="20" customWidth="1"/>
    <col min="6" max="6" width="18" style="20" customWidth="1"/>
    <col min="7" max="7" width="17.42578125" style="20" customWidth="1"/>
    <col min="8" max="8" width="11.42578125" style="20"/>
    <col min="9" max="11" width="11.42578125" style="20" customWidth="1"/>
    <col min="12" max="12" width="16.85546875" style="20" customWidth="1"/>
    <col min="13" max="13" width="11.42578125" style="20"/>
    <col min="14" max="18" width="11.42578125" style="20" customWidth="1"/>
    <col min="19" max="16384" width="11.42578125" style="20"/>
  </cols>
  <sheetData>
    <row r="1" spans="1:19" ht="12" hidden="1" customHeight="1" x14ac:dyDescent="0.2">
      <c r="A1" s="70" t="s">
        <v>1424</v>
      </c>
      <c r="B1" s="70"/>
      <c r="C1" s="70"/>
      <c r="D1" s="70"/>
      <c r="E1" s="70"/>
      <c r="F1" s="70"/>
      <c r="G1" s="70"/>
      <c r="H1" s="51">
        <v>2025</v>
      </c>
      <c r="I1" s="25" t="s">
        <v>1435</v>
      </c>
      <c r="J1" s="25" t="s">
        <v>1440</v>
      </c>
      <c r="K1" s="25" t="s">
        <v>1441</v>
      </c>
      <c r="L1" s="25" t="s">
        <v>1442</v>
      </c>
      <c r="M1" s="25" t="s">
        <v>1444</v>
      </c>
      <c r="N1" s="25" t="s">
        <v>1435</v>
      </c>
      <c r="O1" s="25" t="s">
        <v>1440</v>
      </c>
      <c r="P1" s="25" t="s">
        <v>1441</v>
      </c>
      <c r="Q1" s="25" t="s">
        <v>1442</v>
      </c>
      <c r="R1" s="25" t="s">
        <v>1445</v>
      </c>
      <c r="S1" s="54" t="s">
        <v>1447</v>
      </c>
    </row>
    <row r="2" spans="1:19" ht="15" hidden="1" customHeight="1" x14ac:dyDescent="0.2">
      <c r="A2" s="71" t="s">
        <v>70</v>
      </c>
      <c r="B2" s="71"/>
      <c r="C2" s="71"/>
      <c r="D2" s="71"/>
      <c r="E2" s="71"/>
      <c r="F2" s="71"/>
      <c r="G2" s="71"/>
      <c r="H2" s="52"/>
      <c r="I2" s="25" t="s">
        <v>1436</v>
      </c>
      <c r="J2" s="25" t="s">
        <v>1437</v>
      </c>
      <c r="K2" s="25" t="s">
        <v>1438</v>
      </c>
      <c r="L2" s="25" t="s">
        <v>1439</v>
      </c>
      <c r="M2" s="25" t="s">
        <v>55</v>
      </c>
      <c r="N2" s="25" t="s">
        <v>1436</v>
      </c>
      <c r="O2" s="25" t="s">
        <v>1437</v>
      </c>
      <c r="P2" s="25" t="s">
        <v>1438</v>
      </c>
      <c r="Q2" s="25" t="s">
        <v>1439</v>
      </c>
      <c r="R2" s="25" t="s">
        <v>55</v>
      </c>
      <c r="S2" s="54"/>
    </row>
    <row r="3" spans="1:19" ht="12.75" hidden="1" customHeight="1" x14ac:dyDescent="0.2">
      <c r="A3" s="61"/>
      <c r="B3" s="61"/>
      <c r="C3" s="61"/>
      <c r="D3" s="61"/>
      <c r="E3" s="61"/>
      <c r="F3" s="61"/>
      <c r="G3" s="61"/>
      <c r="H3" s="53"/>
      <c r="I3" s="25"/>
      <c r="J3" s="25"/>
      <c r="K3" s="25"/>
      <c r="L3" s="25"/>
      <c r="M3" s="25"/>
      <c r="N3" s="25"/>
      <c r="O3" s="25"/>
      <c r="P3" s="25"/>
      <c r="Q3" s="25"/>
      <c r="R3" s="25"/>
      <c r="S3" s="54"/>
    </row>
    <row r="4" spans="1:19" ht="38.25" hidden="1" x14ac:dyDescent="0.2">
      <c r="A4" s="10" t="s">
        <v>1</v>
      </c>
      <c r="B4" s="10" t="s">
        <v>1428</v>
      </c>
      <c r="C4" s="23" t="s">
        <v>1446</v>
      </c>
      <c r="D4" s="10" t="s">
        <v>2</v>
      </c>
      <c r="E4" s="10" t="s">
        <v>3</v>
      </c>
      <c r="F4" s="10" t="s">
        <v>4</v>
      </c>
      <c r="G4" s="10" t="s">
        <v>5</v>
      </c>
      <c r="H4" s="23" t="s">
        <v>1433</v>
      </c>
      <c r="I4" s="23" t="s">
        <v>1434</v>
      </c>
      <c r="J4" s="23" t="s">
        <v>1434</v>
      </c>
      <c r="K4" s="23" t="s">
        <v>1434</v>
      </c>
      <c r="L4" s="23" t="s">
        <v>1434</v>
      </c>
      <c r="M4" s="23" t="s">
        <v>1443</v>
      </c>
      <c r="N4" s="23" t="s">
        <v>1448</v>
      </c>
      <c r="O4" s="23" t="s">
        <v>1448</v>
      </c>
      <c r="P4" s="23" t="s">
        <v>1448</v>
      </c>
      <c r="Q4" s="23" t="s">
        <v>1448</v>
      </c>
      <c r="R4" s="23" t="s">
        <v>1449</v>
      </c>
      <c r="S4" s="54"/>
    </row>
    <row r="5" spans="1:19" ht="25.5" hidden="1" x14ac:dyDescent="0.2">
      <c r="A5" s="66" t="s">
        <v>449</v>
      </c>
      <c r="B5" s="28"/>
      <c r="C5" s="28"/>
      <c r="D5" s="4" t="s">
        <v>450</v>
      </c>
      <c r="E5" s="4" t="s">
        <v>451</v>
      </c>
      <c r="F5" s="4">
        <v>60</v>
      </c>
      <c r="G5" s="4" t="s">
        <v>55</v>
      </c>
      <c r="H5" s="27"/>
      <c r="I5" s="27"/>
      <c r="J5" s="27"/>
      <c r="K5" s="27"/>
      <c r="L5" s="27"/>
      <c r="M5" s="24" t="e">
        <f>IF(SUM(I5:L5)=H5,SUM(I5:L5)*100%/H5,"Dato erroneo no cumple con la meta Absoluta (establecida)")</f>
        <v>#DIV/0!</v>
      </c>
      <c r="N5" s="27"/>
      <c r="O5" s="27"/>
      <c r="P5" s="27"/>
      <c r="Q5" s="27"/>
      <c r="R5" s="24" t="e">
        <f>SUM(N5:Q5)*100%/H5</f>
        <v>#DIV/0!</v>
      </c>
      <c r="S5" s="15"/>
    </row>
    <row r="6" spans="1:19" ht="38.25" hidden="1" x14ac:dyDescent="0.2">
      <c r="A6" s="67"/>
      <c r="B6" s="28"/>
      <c r="C6" s="28"/>
      <c r="D6" s="4" t="s">
        <v>452</v>
      </c>
      <c r="E6" s="4" t="s">
        <v>453</v>
      </c>
      <c r="F6" s="4">
        <v>30</v>
      </c>
      <c r="G6" s="4" t="s">
        <v>55</v>
      </c>
      <c r="H6" s="27"/>
      <c r="I6" s="27"/>
      <c r="J6" s="27"/>
      <c r="K6" s="27"/>
      <c r="L6" s="27"/>
      <c r="M6" s="24" t="e">
        <f t="shared" ref="M6:M9" si="0">IF(SUM(I6:L6)=H6,SUM(I6:L6)*100%/H6,"Dato erroneo no cumple con la meta Absoluta (establecida)")</f>
        <v>#DIV/0!</v>
      </c>
      <c r="N6" s="27"/>
      <c r="O6" s="27"/>
      <c r="P6" s="27"/>
      <c r="Q6" s="27"/>
      <c r="R6" s="24" t="e">
        <f t="shared" ref="R6:R9" si="1">SUM(N6:Q6)*100%/H6</f>
        <v>#DIV/0!</v>
      </c>
      <c r="S6" s="15"/>
    </row>
    <row r="7" spans="1:19" ht="38.25" hidden="1" x14ac:dyDescent="0.2">
      <c r="A7" s="67"/>
      <c r="B7" s="28"/>
      <c r="C7" s="28"/>
      <c r="D7" s="4" t="s">
        <v>454</v>
      </c>
      <c r="E7" s="4" t="s">
        <v>455</v>
      </c>
      <c r="F7" s="4">
        <v>1</v>
      </c>
      <c r="G7" s="4" t="s">
        <v>55</v>
      </c>
      <c r="H7" s="27"/>
      <c r="I7" s="27"/>
      <c r="J7" s="27"/>
      <c r="K7" s="27"/>
      <c r="L7" s="27"/>
      <c r="M7" s="24" t="e">
        <f t="shared" si="0"/>
        <v>#DIV/0!</v>
      </c>
      <c r="N7" s="27"/>
      <c r="O7" s="27"/>
      <c r="P7" s="27"/>
      <c r="Q7" s="27"/>
      <c r="R7" s="24" t="e">
        <f t="shared" si="1"/>
        <v>#DIV/0!</v>
      </c>
      <c r="S7" s="15"/>
    </row>
    <row r="8" spans="1:19" ht="38.25" hidden="1" x14ac:dyDescent="0.2">
      <c r="A8" s="67"/>
      <c r="B8" s="28"/>
      <c r="C8" s="28"/>
      <c r="D8" s="4" t="s">
        <v>456</v>
      </c>
      <c r="E8" s="4" t="s">
        <v>457</v>
      </c>
      <c r="F8" s="4">
        <v>3</v>
      </c>
      <c r="G8" s="4" t="s">
        <v>55</v>
      </c>
      <c r="H8" s="27"/>
      <c r="I8" s="27"/>
      <c r="J8" s="27"/>
      <c r="K8" s="27"/>
      <c r="L8" s="27"/>
      <c r="M8" s="24" t="e">
        <f t="shared" si="0"/>
        <v>#DIV/0!</v>
      </c>
      <c r="N8" s="27"/>
      <c r="O8" s="27"/>
      <c r="P8" s="27"/>
      <c r="Q8" s="27"/>
      <c r="R8" s="24" t="e">
        <f t="shared" si="1"/>
        <v>#DIV/0!</v>
      </c>
      <c r="S8" s="15"/>
    </row>
    <row r="9" spans="1:19" ht="38.25" hidden="1" x14ac:dyDescent="0.2">
      <c r="A9" s="68"/>
      <c r="B9" s="28"/>
      <c r="C9" s="28"/>
      <c r="D9" s="4" t="s">
        <v>458</v>
      </c>
      <c r="E9" s="4" t="s">
        <v>459</v>
      </c>
      <c r="F9" s="4" t="s">
        <v>71</v>
      </c>
      <c r="G9" s="4" t="s">
        <v>460</v>
      </c>
      <c r="H9" s="27"/>
      <c r="I9" s="27"/>
      <c r="J9" s="27"/>
      <c r="K9" s="27"/>
      <c r="L9" s="27"/>
      <c r="M9" s="24" t="e">
        <f t="shared" si="0"/>
        <v>#DIV/0!</v>
      </c>
      <c r="N9" s="27"/>
      <c r="O9" s="27"/>
      <c r="P9" s="27"/>
      <c r="Q9" s="27"/>
      <c r="R9" s="24" t="e">
        <f t="shared" si="1"/>
        <v>#DIV/0!</v>
      </c>
      <c r="S9" s="15"/>
    </row>
    <row r="10" spans="1:19" ht="15" hidden="1" x14ac:dyDescent="0.25">
      <c r="A10" s="45" t="s">
        <v>461</v>
      </c>
      <c r="B10" s="45"/>
      <c r="C10" s="45"/>
      <c r="D10" s="45"/>
      <c r="E10" s="45"/>
      <c r="F10" s="45"/>
      <c r="G10" s="45"/>
      <c r="H10"/>
      <c r="I10"/>
      <c r="J10"/>
      <c r="K10"/>
      <c r="L10"/>
      <c r="M10"/>
      <c r="N10"/>
      <c r="O10"/>
      <c r="P10"/>
      <c r="Q10"/>
      <c r="R10"/>
    </row>
    <row r="11" spans="1:19" ht="15" hidden="1" x14ac:dyDescent="0.25">
      <c r="A11" s="46"/>
      <c r="B11" s="46"/>
      <c r="C11" s="46"/>
      <c r="D11" s="46"/>
      <c r="E11" s="46"/>
      <c r="F11" s="46"/>
      <c r="G11" s="46"/>
      <c r="H11"/>
      <c r="I11"/>
      <c r="J11"/>
      <c r="K11"/>
      <c r="L11"/>
      <c r="M11"/>
      <c r="N11"/>
      <c r="O11"/>
      <c r="P11"/>
      <c r="Q11"/>
      <c r="R11"/>
    </row>
    <row r="12" spans="1:19" ht="15" hidden="1" x14ac:dyDescent="0.25">
      <c r="A12" s="46"/>
      <c r="B12" s="46"/>
      <c r="C12" s="46"/>
      <c r="D12" s="46"/>
      <c r="E12" s="46"/>
      <c r="F12" s="46"/>
      <c r="G12" s="46"/>
      <c r="H12"/>
      <c r="I12"/>
      <c r="J12"/>
      <c r="K12"/>
      <c r="L12"/>
      <c r="M12"/>
      <c r="N12"/>
      <c r="O12"/>
      <c r="P12"/>
      <c r="Q12"/>
      <c r="R12"/>
    </row>
    <row r="13" spans="1:19" ht="15" hidden="1" x14ac:dyDescent="0.25">
      <c r="A13" s="46"/>
      <c r="B13" s="46"/>
      <c r="C13" s="46"/>
      <c r="D13" s="46"/>
      <c r="E13" s="46"/>
      <c r="F13" s="46"/>
      <c r="G13" s="46"/>
      <c r="H13"/>
      <c r="I13"/>
      <c r="J13"/>
      <c r="K13"/>
      <c r="L13"/>
      <c r="M13"/>
      <c r="N13"/>
      <c r="O13"/>
      <c r="P13"/>
      <c r="Q13"/>
      <c r="R13"/>
    </row>
    <row r="14" spans="1:19" hidden="1" x14ac:dyDescent="0.2">
      <c r="A14" s="46"/>
      <c r="B14" s="46"/>
      <c r="C14" s="46"/>
      <c r="D14" s="46"/>
      <c r="E14" s="46"/>
      <c r="F14" s="46"/>
      <c r="G14" s="46"/>
    </row>
    <row r="15" spans="1:19" hidden="1" x14ac:dyDescent="0.2">
      <c r="A15" s="34"/>
      <c r="B15" s="34"/>
      <c r="C15" s="34"/>
      <c r="D15" s="34"/>
      <c r="E15" s="34"/>
      <c r="F15" s="34"/>
      <c r="G15" s="34"/>
    </row>
    <row r="16" spans="1:19" hidden="1" x14ac:dyDescent="0.2">
      <c r="A16" s="34"/>
      <c r="B16" s="34"/>
      <c r="C16" s="34"/>
      <c r="D16" s="34"/>
      <c r="E16" s="34"/>
      <c r="F16" s="34"/>
      <c r="G16" s="34"/>
    </row>
    <row r="17" spans="1:19" ht="12.75" hidden="1" customHeight="1" x14ac:dyDescent="0.2">
      <c r="A17" s="70" t="s">
        <v>1424</v>
      </c>
      <c r="B17" s="70"/>
      <c r="C17" s="70"/>
      <c r="D17" s="70"/>
      <c r="E17" s="70"/>
      <c r="F17" s="70"/>
      <c r="G17" s="70"/>
      <c r="H17" s="51">
        <v>2025</v>
      </c>
      <c r="I17" s="25" t="s">
        <v>1435</v>
      </c>
      <c r="J17" s="25" t="s">
        <v>1440</v>
      </c>
      <c r="K17" s="25" t="s">
        <v>1441</v>
      </c>
      <c r="L17" s="25" t="s">
        <v>1442</v>
      </c>
      <c r="M17" s="25" t="s">
        <v>1444</v>
      </c>
      <c r="N17" s="25" t="s">
        <v>1435</v>
      </c>
      <c r="O17" s="25" t="s">
        <v>1440</v>
      </c>
      <c r="P17" s="25" t="s">
        <v>1441</v>
      </c>
      <c r="Q17" s="25" t="s">
        <v>1442</v>
      </c>
      <c r="R17" s="25" t="s">
        <v>1445</v>
      </c>
      <c r="S17" s="54" t="s">
        <v>1447</v>
      </c>
    </row>
    <row r="18" spans="1:19" ht="15" hidden="1" customHeight="1" x14ac:dyDescent="0.2">
      <c r="A18" s="57" t="s">
        <v>72</v>
      </c>
      <c r="B18" s="58"/>
      <c r="C18" s="58"/>
      <c r="D18" s="58"/>
      <c r="E18" s="58"/>
      <c r="F18" s="58"/>
      <c r="G18" s="59"/>
      <c r="H18" s="52"/>
      <c r="I18" s="25" t="s">
        <v>1436</v>
      </c>
      <c r="J18" s="25" t="s">
        <v>1437</v>
      </c>
      <c r="K18" s="25" t="s">
        <v>1438</v>
      </c>
      <c r="L18" s="25" t="s">
        <v>1439</v>
      </c>
      <c r="M18" s="25" t="s">
        <v>55</v>
      </c>
      <c r="N18" s="25" t="s">
        <v>1436</v>
      </c>
      <c r="O18" s="25" t="s">
        <v>1437</v>
      </c>
      <c r="P18" s="25" t="s">
        <v>1438</v>
      </c>
      <c r="Q18" s="25" t="s">
        <v>1439</v>
      </c>
      <c r="R18" s="25" t="s">
        <v>55</v>
      </c>
      <c r="S18" s="54"/>
    </row>
    <row r="19" spans="1:19" ht="12.75" hidden="1" customHeight="1" x14ac:dyDescent="0.2">
      <c r="A19" s="60"/>
      <c r="B19" s="61"/>
      <c r="C19" s="61"/>
      <c r="D19" s="61"/>
      <c r="E19" s="61"/>
      <c r="F19" s="61"/>
      <c r="G19" s="62"/>
      <c r="H19" s="53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54"/>
    </row>
    <row r="20" spans="1:19" ht="38.25" hidden="1" x14ac:dyDescent="0.2">
      <c r="A20" s="10" t="s">
        <v>1</v>
      </c>
      <c r="B20" s="10" t="s">
        <v>1428</v>
      </c>
      <c r="C20" s="23" t="s">
        <v>1446</v>
      </c>
      <c r="D20" s="10" t="s">
        <v>2</v>
      </c>
      <c r="E20" s="10" t="s">
        <v>3</v>
      </c>
      <c r="F20" s="10" t="s">
        <v>4</v>
      </c>
      <c r="G20" s="10" t="s">
        <v>5</v>
      </c>
      <c r="H20" s="23" t="s">
        <v>1433</v>
      </c>
      <c r="I20" s="23" t="s">
        <v>1434</v>
      </c>
      <c r="J20" s="23" t="s">
        <v>1434</v>
      </c>
      <c r="K20" s="23" t="s">
        <v>1434</v>
      </c>
      <c r="L20" s="23" t="s">
        <v>1434</v>
      </c>
      <c r="M20" s="23" t="s">
        <v>1443</v>
      </c>
      <c r="N20" s="23" t="s">
        <v>1448</v>
      </c>
      <c r="O20" s="23" t="s">
        <v>1448</v>
      </c>
      <c r="P20" s="23" t="s">
        <v>1448</v>
      </c>
      <c r="Q20" s="23" t="s">
        <v>1448</v>
      </c>
      <c r="R20" s="23" t="s">
        <v>1449</v>
      </c>
      <c r="S20" s="54"/>
    </row>
    <row r="21" spans="1:19" ht="63.75" hidden="1" x14ac:dyDescent="0.2">
      <c r="A21" s="66" t="s">
        <v>462</v>
      </c>
      <c r="B21" s="28"/>
      <c r="C21" s="28"/>
      <c r="D21" s="4" t="s">
        <v>463</v>
      </c>
      <c r="E21" s="4" t="s">
        <v>464</v>
      </c>
      <c r="F21" s="4" t="s">
        <v>465</v>
      </c>
      <c r="G21" s="4" t="s">
        <v>466</v>
      </c>
      <c r="H21" s="27"/>
      <c r="I21" s="27"/>
      <c r="J21" s="27"/>
      <c r="K21" s="27"/>
      <c r="L21" s="27"/>
      <c r="M21" s="24" t="e">
        <f>IF(SUM(I21:L21)=H21,SUM(I21:L21)*100%/H21,"Dato erroneo no cumple con la meta Absoluta (establecida)")</f>
        <v>#DIV/0!</v>
      </c>
      <c r="N21" s="27"/>
      <c r="O21" s="27"/>
      <c r="P21" s="27"/>
      <c r="Q21" s="27"/>
      <c r="R21" s="24" t="e">
        <f>SUM(N21:Q21)*100%/H21</f>
        <v>#DIV/0!</v>
      </c>
      <c r="S21" s="15"/>
    </row>
    <row r="22" spans="1:19" ht="102" hidden="1" x14ac:dyDescent="0.2">
      <c r="A22" s="67"/>
      <c r="B22" s="28"/>
      <c r="C22" s="28"/>
      <c r="D22" s="4" t="s">
        <v>467</v>
      </c>
      <c r="E22" s="4" t="s">
        <v>468</v>
      </c>
      <c r="F22" s="4" t="s">
        <v>469</v>
      </c>
      <c r="G22" s="4" t="s">
        <v>470</v>
      </c>
      <c r="H22" s="27"/>
      <c r="I22" s="27"/>
      <c r="J22" s="27"/>
      <c r="K22" s="27"/>
      <c r="L22" s="27"/>
      <c r="M22" s="24" t="e">
        <f t="shared" ref="M22:M38" si="2">IF(SUM(I22:L22)=H22,SUM(I22:L22)*100%/H22,"Dato erroneo no cumple con la meta Absoluta (establecida)")</f>
        <v>#DIV/0!</v>
      </c>
      <c r="N22" s="27"/>
      <c r="O22" s="27"/>
      <c r="P22" s="27"/>
      <c r="Q22" s="27"/>
      <c r="R22" s="24" t="e">
        <f t="shared" ref="R22:R38" si="3">SUM(N22:Q22)*100%/H22</f>
        <v>#DIV/0!</v>
      </c>
      <c r="S22" s="15"/>
    </row>
    <row r="23" spans="1:19" ht="63.75" hidden="1" x14ac:dyDescent="0.2">
      <c r="A23" s="67"/>
      <c r="B23" s="28"/>
      <c r="C23" s="28"/>
      <c r="D23" s="4" t="s">
        <v>471</v>
      </c>
      <c r="E23" s="4" t="s">
        <v>472</v>
      </c>
      <c r="F23" s="4" t="s">
        <v>473</v>
      </c>
      <c r="G23" s="4" t="s">
        <v>474</v>
      </c>
      <c r="H23" s="27"/>
      <c r="I23" s="27"/>
      <c r="J23" s="27"/>
      <c r="K23" s="27"/>
      <c r="L23" s="27"/>
      <c r="M23" s="24" t="e">
        <f t="shared" si="2"/>
        <v>#DIV/0!</v>
      </c>
      <c r="N23" s="27"/>
      <c r="O23" s="27"/>
      <c r="P23" s="27"/>
      <c r="Q23" s="27"/>
      <c r="R23" s="24" t="e">
        <f t="shared" si="3"/>
        <v>#DIV/0!</v>
      </c>
      <c r="S23" s="15"/>
    </row>
    <row r="24" spans="1:19" ht="76.5" hidden="1" x14ac:dyDescent="0.2">
      <c r="A24" s="67"/>
      <c r="B24" s="28"/>
      <c r="C24" s="28"/>
      <c r="D24" s="4" t="s">
        <v>475</v>
      </c>
      <c r="E24" s="4" t="s">
        <v>476</v>
      </c>
      <c r="F24" s="4" t="s">
        <v>477</v>
      </c>
      <c r="G24" s="4" t="s">
        <v>478</v>
      </c>
      <c r="H24" s="27"/>
      <c r="I24" s="27"/>
      <c r="J24" s="27"/>
      <c r="K24" s="27"/>
      <c r="L24" s="27"/>
      <c r="M24" s="24" t="e">
        <f t="shared" si="2"/>
        <v>#DIV/0!</v>
      </c>
      <c r="N24" s="27"/>
      <c r="O24" s="27"/>
      <c r="P24" s="27"/>
      <c r="Q24" s="27"/>
      <c r="R24" s="24" t="e">
        <f t="shared" si="3"/>
        <v>#DIV/0!</v>
      </c>
      <c r="S24" s="15"/>
    </row>
    <row r="25" spans="1:19" ht="63.75" hidden="1" x14ac:dyDescent="0.2">
      <c r="A25" s="67"/>
      <c r="B25" s="28"/>
      <c r="C25" s="28"/>
      <c r="D25" s="4" t="s">
        <v>479</v>
      </c>
      <c r="E25" s="4" t="s">
        <v>480</v>
      </c>
      <c r="F25" s="4" t="s">
        <v>481</v>
      </c>
      <c r="G25" s="4" t="s">
        <v>482</v>
      </c>
      <c r="H25" s="27"/>
      <c r="I25" s="27"/>
      <c r="J25" s="27"/>
      <c r="K25" s="27"/>
      <c r="L25" s="27"/>
      <c r="M25" s="24" t="e">
        <f t="shared" si="2"/>
        <v>#DIV/0!</v>
      </c>
      <c r="N25" s="27"/>
      <c r="O25" s="27"/>
      <c r="P25" s="27"/>
      <c r="Q25" s="27"/>
      <c r="R25" s="24" t="e">
        <f t="shared" si="3"/>
        <v>#DIV/0!</v>
      </c>
      <c r="S25" s="15"/>
    </row>
    <row r="26" spans="1:19" ht="76.5" hidden="1" x14ac:dyDescent="0.2">
      <c r="A26" s="67"/>
      <c r="B26" s="28"/>
      <c r="C26" s="28"/>
      <c r="D26" s="4" t="s">
        <v>483</v>
      </c>
      <c r="E26" s="4" t="s">
        <v>480</v>
      </c>
      <c r="F26" s="4" t="s">
        <v>484</v>
      </c>
      <c r="G26" s="4" t="s">
        <v>482</v>
      </c>
      <c r="H26" s="27"/>
      <c r="I26" s="27"/>
      <c r="J26" s="27"/>
      <c r="K26" s="27"/>
      <c r="L26" s="27"/>
      <c r="M26" s="24" t="e">
        <f t="shared" si="2"/>
        <v>#DIV/0!</v>
      </c>
      <c r="N26" s="27"/>
      <c r="O26" s="27"/>
      <c r="P26" s="27"/>
      <c r="Q26" s="27"/>
      <c r="R26" s="24" t="e">
        <f t="shared" si="3"/>
        <v>#DIV/0!</v>
      </c>
      <c r="S26" s="15"/>
    </row>
    <row r="27" spans="1:19" ht="25.5" hidden="1" x14ac:dyDescent="0.2">
      <c r="A27" s="67"/>
      <c r="B27" s="28"/>
      <c r="C27" s="28"/>
      <c r="D27" s="4" t="s">
        <v>485</v>
      </c>
      <c r="E27" s="4" t="s">
        <v>486</v>
      </c>
      <c r="F27" s="4" t="s">
        <v>487</v>
      </c>
      <c r="G27" s="4" t="s">
        <v>488</v>
      </c>
      <c r="H27" s="27"/>
      <c r="I27" s="27"/>
      <c r="J27" s="27"/>
      <c r="K27" s="27"/>
      <c r="L27" s="27"/>
      <c r="M27" s="24" t="e">
        <f t="shared" si="2"/>
        <v>#DIV/0!</v>
      </c>
      <c r="N27" s="27"/>
      <c r="O27" s="27"/>
      <c r="P27" s="27"/>
      <c r="Q27" s="27"/>
      <c r="R27" s="24" t="e">
        <f t="shared" si="3"/>
        <v>#DIV/0!</v>
      </c>
      <c r="S27" s="15"/>
    </row>
    <row r="28" spans="1:19" ht="140.25" hidden="1" x14ac:dyDescent="0.2">
      <c r="A28" s="67"/>
      <c r="B28" s="28"/>
      <c r="C28" s="28"/>
      <c r="D28" s="4" t="s">
        <v>489</v>
      </c>
      <c r="E28" s="4" t="s">
        <v>490</v>
      </c>
      <c r="F28" s="4" t="s">
        <v>491</v>
      </c>
      <c r="G28" s="4" t="s">
        <v>492</v>
      </c>
      <c r="H28" s="27"/>
      <c r="I28" s="27"/>
      <c r="J28" s="27"/>
      <c r="K28" s="27"/>
      <c r="L28" s="27"/>
      <c r="M28" s="24" t="e">
        <f t="shared" si="2"/>
        <v>#DIV/0!</v>
      </c>
      <c r="N28" s="27"/>
      <c r="O28" s="27"/>
      <c r="P28" s="27"/>
      <c r="Q28" s="27"/>
      <c r="R28" s="24" t="e">
        <f t="shared" si="3"/>
        <v>#DIV/0!</v>
      </c>
      <c r="S28" s="15"/>
    </row>
    <row r="29" spans="1:19" ht="51" hidden="1" x14ac:dyDescent="0.2">
      <c r="A29" s="67"/>
      <c r="B29" s="28"/>
      <c r="C29" s="28"/>
      <c r="D29" s="4" t="s">
        <v>493</v>
      </c>
      <c r="E29" s="4" t="s">
        <v>494</v>
      </c>
      <c r="F29" s="4" t="s">
        <v>495</v>
      </c>
      <c r="G29" s="4" t="s">
        <v>496</v>
      </c>
      <c r="H29" s="27"/>
      <c r="I29" s="27"/>
      <c r="J29" s="27"/>
      <c r="K29" s="27"/>
      <c r="L29" s="27"/>
      <c r="M29" s="24" t="e">
        <f t="shared" si="2"/>
        <v>#DIV/0!</v>
      </c>
      <c r="N29" s="27"/>
      <c r="O29" s="27"/>
      <c r="P29" s="27"/>
      <c r="Q29" s="27"/>
      <c r="R29" s="24" t="e">
        <f t="shared" si="3"/>
        <v>#DIV/0!</v>
      </c>
      <c r="S29" s="15"/>
    </row>
    <row r="30" spans="1:19" ht="51" hidden="1" x14ac:dyDescent="0.2">
      <c r="A30" s="67"/>
      <c r="B30" s="28"/>
      <c r="C30" s="28"/>
      <c r="D30" s="4" t="s">
        <v>497</v>
      </c>
      <c r="E30" s="4" t="s">
        <v>498</v>
      </c>
      <c r="F30" s="4" t="s">
        <v>499</v>
      </c>
      <c r="G30" s="4" t="s">
        <v>500</v>
      </c>
      <c r="H30" s="27"/>
      <c r="I30" s="27"/>
      <c r="J30" s="27"/>
      <c r="K30" s="27"/>
      <c r="L30" s="27"/>
      <c r="M30" s="24" t="e">
        <f t="shared" si="2"/>
        <v>#DIV/0!</v>
      </c>
      <c r="N30" s="27"/>
      <c r="O30" s="27"/>
      <c r="P30" s="27"/>
      <c r="Q30" s="27"/>
      <c r="R30" s="24" t="e">
        <f t="shared" si="3"/>
        <v>#DIV/0!</v>
      </c>
      <c r="S30" s="15"/>
    </row>
    <row r="31" spans="1:19" ht="76.5" hidden="1" x14ac:dyDescent="0.2">
      <c r="A31" s="67"/>
      <c r="B31" s="28"/>
      <c r="C31" s="28"/>
      <c r="D31" s="4" t="s">
        <v>501</v>
      </c>
      <c r="E31" s="4" t="s">
        <v>502</v>
      </c>
      <c r="F31" s="4" t="s">
        <v>503</v>
      </c>
      <c r="G31" s="4" t="s">
        <v>504</v>
      </c>
      <c r="H31" s="27"/>
      <c r="I31" s="27"/>
      <c r="J31" s="27"/>
      <c r="K31" s="27"/>
      <c r="L31" s="27"/>
      <c r="M31" s="24" t="e">
        <f t="shared" si="2"/>
        <v>#DIV/0!</v>
      </c>
      <c r="N31" s="27"/>
      <c r="O31" s="27"/>
      <c r="P31" s="27"/>
      <c r="Q31" s="27"/>
      <c r="R31" s="24" t="e">
        <f t="shared" si="3"/>
        <v>#DIV/0!</v>
      </c>
      <c r="S31" s="15"/>
    </row>
    <row r="32" spans="1:19" ht="51" hidden="1" x14ac:dyDescent="0.2">
      <c r="A32" s="67"/>
      <c r="B32" s="28"/>
      <c r="C32" s="28"/>
      <c r="D32" s="4" t="s">
        <v>505</v>
      </c>
      <c r="E32" s="4" t="s">
        <v>506</v>
      </c>
      <c r="F32" s="4" t="s">
        <v>507</v>
      </c>
      <c r="G32" s="4" t="s">
        <v>508</v>
      </c>
      <c r="H32" s="27"/>
      <c r="I32" s="27"/>
      <c r="J32" s="27"/>
      <c r="K32" s="27"/>
      <c r="L32" s="27"/>
      <c r="M32" s="24" t="e">
        <f t="shared" si="2"/>
        <v>#DIV/0!</v>
      </c>
      <c r="N32" s="27"/>
      <c r="O32" s="27"/>
      <c r="P32" s="27"/>
      <c r="Q32" s="27"/>
      <c r="R32" s="24" t="e">
        <f t="shared" si="3"/>
        <v>#DIV/0!</v>
      </c>
      <c r="S32" s="15"/>
    </row>
    <row r="33" spans="1:19" ht="38.25" hidden="1" x14ac:dyDescent="0.2">
      <c r="A33" s="67"/>
      <c r="B33" s="28"/>
      <c r="C33" s="28"/>
      <c r="D33" s="4" t="s">
        <v>509</v>
      </c>
      <c r="E33" s="4" t="s">
        <v>510</v>
      </c>
      <c r="F33" s="4" t="s">
        <v>511</v>
      </c>
      <c r="G33" s="4" t="s">
        <v>512</v>
      </c>
      <c r="H33" s="27"/>
      <c r="I33" s="27"/>
      <c r="J33" s="27"/>
      <c r="K33" s="27"/>
      <c r="L33" s="27"/>
      <c r="M33" s="24" t="e">
        <f t="shared" si="2"/>
        <v>#DIV/0!</v>
      </c>
      <c r="N33" s="27"/>
      <c r="O33" s="27"/>
      <c r="P33" s="27"/>
      <c r="Q33" s="27"/>
      <c r="R33" s="24" t="e">
        <f t="shared" si="3"/>
        <v>#DIV/0!</v>
      </c>
      <c r="S33" s="15"/>
    </row>
    <row r="34" spans="1:19" ht="63.75" hidden="1" x14ac:dyDescent="0.2">
      <c r="A34" s="67"/>
      <c r="B34" s="28"/>
      <c r="C34" s="28"/>
      <c r="D34" s="4" t="s">
        <v>513</v>
      </c>
      <c r="E34" s="4" t="s">
        <v>514</v>
      </c>
      <c r="F34" s="4" t="s">
        <v>515</v>
      </c>
      <c r="G34" s="4" t="s">
        <v>516</v>
      </c>
      <c r="H34" s="27"/>
      <c r="I34" s="27"/>
      <c r="J34" s="27"/>
      <c r="K34" s="27"/>
      <c r="L34" s="27"/>
      <c r="M34" s="24" t="e">
        <f t="shared" si="2"/>
        <v>#DIV/0!</v>
      </c>
      <c r="N34" s="27"/>
      <c r="O34" s="27"/>
      <c r="P34" s="27"/>
      <c r="Q34" s="27"/>
      <c r="R34" s="24" t="e">
        <f t="shared" si="3"/>
        <v>#DIV/0!</v>
      </c>
      <c r="S34" s="15"/>
    </row>
    <row r="35" spans="1:19" ht="63.75" hidden="1" x14ac:dyDescent="0.2">
      <c r="A35" s="67"/>
      <c r="B35" s="28"/>
      <c r="C35" s="28"/>
      <c r="D35" s="4" t="s">
        <v>517</v>
      </c>
      <c r="E35" s="4" t="s">
        <v>518</v>
      </c>
      <c r="F35" s="4" t="s">
        <v>519</v>
      </c>
      <c r="G35" s="4" t="s">
        <v>482</v>
      </c>
      <c r="H35" s="27"/>
      <c r="I35" s="27"/>
      <c r="J35" s="27"/>
      <c r="K35" s="27"/>
      <c r="L35" s="27"/>
      <c r="M35" s="24" t="e">
        <f t="shared" si="2"/>
        <v>#DIV/0!</v>
      </c>
      <c r="N35" s="27"/>
      <c r="O35" s="27"/>
      <c r="P35" s="27"/>
      <c r="Q35" s="27"/>
      <c r="R35" s="24" t="e">
        <f t="shared" si="3"/>
        <v>#DIV/0!</v>
      </c>
      <c r="S35" s="15"/>
    </row>
    <row r="36" spans="1:19" ht="51" hidden="1" x14ac:dyDescent="0.2">
      <c r="A36" s="67"/>
      <c r="B36" s="28"/>
      <c r="C36" s="28"/>
      <c r="D36" s="4" t="s">
        <v>520</v>
      </c>
      <c r="E36" s="4" t="s">
        <v>480</v>
      </c>
      <c r="F36" s="4" t="s">
        <v>521</v>
      </c>
      <c r="G36" s="4" t="s">
        <v>522</v>
      </c>
      <c r="H36" s="27"/>
      <c r="I36" s="27"/>
      <c r="J36" s="27"/>
      <c r="K36" s="27"/>
      <c r="L36" s="27"/>
      <c r="M36" s="24" t="e">
        <f t="shared" si="2"/>
        <v>#DIV/0!</v>
      </c>
      <c r="N36" s="27"/>
      <c r="O36" s="27"/>
      <c r="P36" s="27"/>
      <c r="Q36" s="27"/>
      <c r="R36" s="24" t="e">
        <f t="shared" si="3"/>
        <v>#DIV/0!</v>
      </c>
      <c r="S36" s="15"/>
    </row>
    <row r="37" spans="1:19" ht="76.5" hidden="1" x14ac:dyDescent="0.2">
      <c r="A37" s="67"/>
      <c r="B37" s="28"/>
      <c r="C37" s="28"/>
      <c r="D37" s="4" t="s">
        <v>523</v>
      </c>
      <c r="E37" s="4" t="s">
        <v>524</v>
      </c>
      <c r="F37" s="4" t="s">
        <v>525</v>
      </c>
      <c r="G37" s="4" t="s">
        <v>526</v>
      </c>
      <c r="H37" s="27"/>
      <c r="I37" s="27"/>
      <c r="J37" s="27"/>
      <c r="K37" s="27"/>
      <c r="L37" s="27"/>
      <c r="M37" s="24" t="e">
        <f t="shared" si="2"/>
        <v>#DIV/0!</v>
      </c>
      <c r="N37" s="27"/>
      <c r="O37" s="27"/>
      <c r="P37" s="27"/>
      <c r="Q37" s="27"/>
      <c r="R37" s="24" t="e">
        <f t="shared" si="3"/>
        <v>#DIV/0!</v>
      </c>
      <c r="S37" s="15"/>
    </row>
    <row r="38" spans="1:19" ht="165.75" hidden="1" x14ac:dyDescent="0.2">
      <c r="A38" s="68"/>
      <c r="B38" s="28"/>
      <c r="C38" s="28"/>
      <c r="D38" s="4" t="s">
        <v>527</v>
      </c>
      <c r="E38" s="4" t="s">
        <v>528</v>
      </c>
      <c r="F38" s="4" t="s">
        <v>529</v>
      </c>
      <c r="G38" s="4" t="s">
        <v>530</v>
      </c>
      <c r="H38" s="27"/>
      <c r="I38" s="27"/>
      <c r="J38" s="27"/>
      <c r="K38" s="27"/>
      <c r="L38" s="27"/>
      <c r="M38" s="24" t="e">
        <f t="shared" si="2"/>
        <v>#DIV/0!</v>
      </c>
      <c r="N38" s="27"/>
      <c r="O38" s="27"/>
      <c r="P38" s="27"/>
      <c r="Q38" s="27"/>
      <c r="R38" s="24" t="e">
        <f t="shared" si="3"/>
        <v>#DIV/0!</v>
      </c>
      <c r="S38" s="15"/>
    </row>
    <row r="39" spans="1:19" ht="15" hidden="1" x14ac:dyDescent="0.25">
      <c r="A39" s="45" t="s">
        <v>461</v>
      </c>
      <c r="B39" s="45"/>
      <c r="C39" s="45"/>
      <c r="D39" s="45"/>
      <c r="E39" s="45"/>
      <c r="F39" s="45"/>
      <c r="G39" s="45"/>
      <c r="H39"/>
      <c r="I39"/>
      <c r="J39"/>
      <c r="K39"/>
      <c r="L39"/>
      <c r="M39"/>
      <c r="N39"/>
      <c r="O39"/>
      <c r="P39"/>
      <c r="Q39"/>
      <c r="R39"/>
      <c r="S39"/>
    </row>
    <row r="40" spans="1:19" ht="15" hidden="1" x14ac:dyDescent="0.25">
      <c r="A40" s="34"/>
      <c r="B40" s="34"/>
      <c r="C40" s="34"/>
      <c r="D40" s="34"/>
      <c r="E40" s="34"/>
      <c r="F40" s="34"/>
      <c r="G40" s="34"/>
      <c r="H40"/>
      <c r="I40"/>
      <c r="J40"/>
      <c r="K40"/>
      <c r="L40"/>
      <c r="M40"/>
      <c r="N40"/>
      <c r="O40"/>
      <c r="P40"/>
      <c r="Q40"/>
      <c r="R40"/>
      <c r="S40"/>
    </row>
    <row r="41" spans="1:19" ht="15" hidden="1" x14ac:dyDescent="0.25">
      <c r="A41" s="34"/>
      <c r="B41" s="34"/>
      <c r="C41" s="34"/>
      <c r="D41" s="34"/>
      <c r="E41" s="34"/>
      <c r="F41" s="34"/>
      <c r="G41" s="34"/>
      <c r="H41"/>
      <c r="I41"/>
      <c r="J41"/>
      <c r="K41"/>
      <c r="L41"/>
      <c r="M41"/>
      <c r="N41"/>
      <c r="O41"/>
      <c r="P41"/>
      <c r="Q41"/>
      <c r="R41"/>
      <c r="S41"/>
    </row>
    <row r="42" spans="1:19" hidden="1" x14ac:dyDescent="0.2">
      <c r="A42" s="34"/>
      <c r="B42" s="34"/>
      <c r="C42" s="34"/>
      <c r="D42" s="34"/>
      <c r="E42" s="34"/>
      <c r="F42" s="34"/>
      <c r="G42" s="34"/>
    </row>
    <row r="43" spans="1:19" hidden="1" x14ac:dyDescent="0.2">
      <c r="A43" s="34"/>
      <c r="B43" s="34"/>
      <c r="C43" s="34"/>
      <c r="D43" s="34"/>
      <c r="E43" s="34"/>
      <c r="F43" s="34"/>
      <c r="G43" s="34"/>
    </row>
    <row r="44" spans="1:19" hidden="1" x14ac:dyDescent="0.2">
      <c r="A44" s="34"/>
      <c r="B44" s="34"/>
      <c r="C44" s="34"/>
      <c r="D44" s="34"/>
      <c r="E44" s="34"/>
      <c r="F44" s="34"/>
      <c r="G44" s="34"/>
    </row>
    <row r="45" spans="1:19" hidden="1" x14ac:dyDescent="0.2">
      <c r="A45" s="34"/>
      <c r="B45" s="34"/>
      <c r="C45" s="34"/>
      <c r="D45" s="34"/>
      <c r="E45" s="34"/>
      <c r="F45" s="34"/>
      <c r="G45" s="34"/>
    </row>
    <row r="46" spans="1:19" hidden="1" x14ac:dyDescent="0.2">
      <c r="A46" s="34"/>
      <c r="B46" s="34"/>
      <c r="C46" s="34"/>
      <c r="D46" s="34"/>
      <c r="E46" s="34"/>
      <c r="F46" s="34"/>
      <c r="G46" s="34"/>
    </row>
    <row r="47" spans="1:19" ht="12.75" hidden="1" customHeight="1" x14ac:dyDescent="0.2">
      <c r="A47" s="70" t="s">
        <v>1424</v>
      </c>
      <c r="B47" s="70"/>
      <c r="C47" s="70"/>
      <c r="D47" s="70"/>
      <c r="E47" s="70"/>
      <c r="F47" s="70"/>
      <c r="G47" s="70"/>
      <c r="H47" s="51">
        <v>2025</v>
      </c>
      <c r="I47" s="25" t="s">
        <v>1435</v>
      </c>
      <c r="J47" s="25" t="s">
        <v>1440</v>
      </c>
      <c r="K47" s="25" t="s">
        <v>1441</v>
      </c>
      <c r="L47" s="25" t="s">
        <v>1442</v>
      </c>
      <c r="M47" s="25" t="s">
        <v>1444</v>
      </c>
      <c r="N47" s="25" t="s">
        <v>1435</v>
      </c>
      <c r="O47" s="25" t="s">
        <v>1440</v>
      </c>
      <c r="P47" s="25" t="s">
        <v>1441</v>
      </c>
      <c r="Q47" s="25" t="s">
        <v>1442</v>
      </c>
      <c r="R47" s="25" t="s">
        <v>1445</v>
      </c>
      <c r="S47" s="54" t="s">
        <v>1447</v>
      </c>
    </row>
    <row r="48" spans="1:19" ht="15" hidden="1" customHeight="1" x14ac:dyDescent="0.2">
      <c r="A48" s="57" t="s">
        <v>73</v>
      </c>
      <c r="B48" s="58"/>
      <c r="C48" s="58"/>
      <c r="D48" s="58"/>
      <c r="E48" s="58"/>
      <c r="F48" s="58"/>
      <c r="G48" s="58"/>
      <c r="H48" s="52"/>
      <c r="I48" s="25" t="s">
        <v>1436</v>
      </c>
      <c r="J48" s="25" t="s">
        <v>1437</v>
      </c>
      <c r="K48" s="25" t="s">
        <v>1438</v>
      </c>
      <c r="L48" s="25" t="s">
        <v>1439</v>
      </c>
      <c r="M48" s="25" t="s">
        <v>55</v>
      </c>
      <c r="N48" s="25" t="s">
        <v>1436</v>
      </c>
      <c r="O48" s="25" t="s">
        <v>1437</v>
      </c>
      <c r="P48" s="25" t="s">
        <v>1438</v>
      </c>
      <c r="Q48" s="25" t="s">
        <v>1439</v>
      </c>
      <c r="R48" s="25" t="s">
        <v>55</v>
      </c>
      <c r="S48" s="54"/>
    </row>
    <row r="49" spans="1:19" ht="12.75" hidden="1" customHeight="1" x14ac:dyDescent="0.2">
      <c r="A49" s="60"/>
      <c r="B49" s="61"/>
      <c r="C49" s="61"/>
      <c r="D49" s="61"/>
      <c r="E49" s="61"/>
      <c r="F49" s="61"/>
      <c r="G49" s="61"/>
      <c r="H49" s="53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54"/>
    </row>
    <row r="50" spans="1:19" ht="38.25" hidden="1" x14ac:dyDescent="0.2">
      <c r="A50" s="10" t="s">
        <v>1</v>
      </c>
      <c r="B50" s="10" t="s">
        <v>1428</v>
      </c>
      <c r="C50" s="23" t="s">
        <v>1446</v>
      </c>
      <c r="D50" s="10" t="s">
        <v>2</v>
      </c>
      <c r="E50" s="10" t="s">
        <v>3</v>
      </c>
      <c r="F50" s="10" t="s">
        <v>4</v>
      </c>
      <c r="G50" s="10" t="s">
        <v>5</v>
      </c>
      <c r="H50" s="23" t="s">
        <v>1433</v>
      </c>
      <c r="I50" s="23" t="s">
        <v>1434</v>
      </c>
      <c r="J50" s="23" t="s">
        <v>1434</v>
      </c>
      <c r="K50" s="23" t="s">
        <v>1434</v>
      </c>
      <c r="L50" s="23" t="s">
        <v>1434</v>
      </c>
      <c r="M50" s="23" t="s">
        <v>1443</v>
      </c>
      <c r="N50" s="23" t="s">
        <v>1448</v>
      </c>
      <c r="O50" s="23" t="s">
        <v>1448</v>
      </c>
      <c r="P50" s="23" t="s">
        <v>1448</v>
      </c>
      <c r="Q50" s="23" t="s">
        <v>1448</v>
      </c>
      <c r="R50" s="23" t="s">
        <v>1449</v>
      </c>
      <c r="S50" s="54"/>
    </row>
    <row r="51" spans="1:19" ht="89.25" hidden="1" x14ac:dyDescent="0.2">
      <c r="A51" s="66" t="s">
        <v>531</v>
      </c>
      <c r="B51" s="28"/>
      <c r="C51" s="28"/>
      <c r="D51" s="4" t="s">
        <v>532</v>
      </c>
      <c r="E51" s="4" t="s">
        <v>200</v>
      </c>
      <c r="F51" s="4" t="s">
        <v>533</v>
      </c>
      <c r="G51" s="4" t="s">
        <v>534</v>
      </c>
      <c r="H51" s="27"/>
      <c r="I51" s="27"/>
      <c r="J51" s="27"/>
      <c r="K51" s="27"/>
      <c r="L51" s="27"/>
      <c r="M51" s="24" t="e">
        <f>IF(SUM(I51:L51)=H51,SUM(I51:L51)*100%/H51,"Dato erroneo no cumple con la meta Absoluta (establecida)")</f>
        <v>#DIV/0!</v>
      </c>
      <c r="N51" s="27"/>
      <c r="O51" s="27"/>
      <c r="P51" s="27"/>
      <c r="Q51" s="27"/>
      <c r="R51" s="24" t="e">
        <f>SUM(N51:Q51)*100%/H51</f>
        <v>#DIV/0!</v>
      </c>
      <c r="S51" s="15"/>
    </row>
    <row r="52" spans="1:19" ht="76.5" hidden="1" x14ac:dyDescent="0.2">
      <c r="A52" s="67"/>
      <c r="B52" s="28"/>
      <c r="C52" s="28"/>
      <c r="D52" s="4" t="s">
        <v>535</v>
      </c>
      <c r="E52" s="4" t="s">
        <v>536</v>
      </c>
      <c r="F52" s="4" t="s">
        <v>537</v>
      </c>
      <c r="G52" s="4" t="s">
        <v>538</v>
      </c>
      <c r="H52" s="27"/>
      <c r="I52" s="27"/>
      <c r="J52" s="27"/>
      <c r="K52" s="27"/>
      <c r="L52" s="27"/>
      <c r="M52" s="24" t="e">
        <f t="shared" ref="M52:M57" si="4">IF(SUM(I52:L52)=H52,SUM(I52:L52)*100%/H52,"Dato erroneo no cumple con la meta Absoluta (establecida)")</f>
        <v>#DIV/0!</v>
      </c>
      <c r="N52" s="27"/>
      <c r="O52" s="27"/>
      <c r="P52" s="27"/>
      <c r="Q52" s="27"/>
      <c r="R52" s="24" t="e">
        <f t="shared" ref="R52:R57" si="5">SUM(N52:Q52)*100%/H52</f>
        <v>#DIV/0!</v>
      </c>
      <c r="S52" s="15"/>
    </row>
    <row r="53" spans="1:19" ht="89.25" hidden="1" x14ac:dyDescent="0.2">
      <c r="A53" s="67"/>
      <c r="B53" s="28"/>
      <c r="C53" s="28"/>
      <c r="D53" s="4" t="s">
        <v>539</v>
      </c>
      <c r="E53" s="4" t="s">
        <v>540</v>
      </c>
      <c r="F53" s="4" t="s">
        <v>541</v>
      </c>
      <c r="G53" s="4" t="s">
        <v>542</v>
      </c>
      <c r="H53" s="27"/>
      <c r="I53" s="27"/>
      <c r="J53" s="27"/>
      <c r="K53" s="27"/>
      <c r="L53" s="27"/>
      <c r="M53" s="24" t="e">
        <f t="shared" si="4"/>
        <v>#DIV/0!</v>
      </c>
      <c r="N53" s="27"/>
      <c r="O53" s="27"/>
      <c r="P53" s="27"/>
      <c r="Q53" s="27"/>
      <c r="R53" s="24" t="e">
        <f t="shared" si="5"/>
        <v>#DIV/0!</v>
      </c>
      <c r="S53" s="15"/>
    </row>
    <row r="54" spans="1:19" ht="89.25" hidden="1" x14ac:dyDescent="0.2">
      <c r="A54" s="67"/>
      <c r="B54" s="28"/>
      <c r="C54" s="28"/>
      <c r="D54" s="4" t="s">
        <v>543</v>
      </c>
      <c r="E54" s="4" t="s">
        <v>544</v>
      </c>
      <c r="F54" s="4" t="s">
        <v>545</v>
      </c>
      <c r="G54" s="4" t="s">
        <v>546</v>
      </c>
      <c r="H54" s="27"/>
      <c r="I54" s="27"/>
      <c r="J54" s="27"/>
      <c r="K54" s="27"/>
      <c r="L54" s="27"/>
      <c r="M54" s="24" t="e">
        <f t="shared" si="4"/>
        <v>#DIV/0!</v>
      </c>
      <c r="N54" s="27"/>
      <c r="O54" s="27"/>
      <c r="P54" s="27"/>
      <c r="Q54" s="27"/>
      <c r="R54" s="24" t="e">
        <f t="shared" si="5"/>
        <v>#DIV/0!</v>
      </c>
      <c r="S54" s="15"/>
    </row>
    <row r="55" spans="1:19" ht="38.25" hidden="1" x14ac:dyDescent="0.2">
      <c r="A55" s="67"/>
      <c r="B55" s="28"/>
      <c r="C55" s="28"/>
      <c r="D55" s="4" t="s">
        <v>547</v>
      </c>
      <c r="E55" s="4" t="s">
        <v>68</v>
      </c>
      <c r="F55" s="4" t="s">
        <v>548</v>
      </c>
      <c r="G55" s="4" t="s">
        <v>549</v>
      </c>
      <c r="H55" s="27"/>
      <c r="I55" s="27"/>
      <c r="J55" s="27"/>
      <c r="K55" s="27"/>
      <c r="L55" s="27"/>
      <c r="M55" s="24" t="e">
        <f t="shared" si="4"/>
        <v>#DIV/0!</v>
      </c>
      <c r="N55" s="27"/>
      <c r="O55" s="27"/>
      <c r="P55" s="27"/>
      <c r="Q55" s="27"/>
      <c r="R55" s="24" t="e">
        <f t="shared" si="5"/>
        <v>#DIV/0!</v>
      </c>
      <c r="S55" s="15"/>
    </row>
    <row r="56" spans="1:19" ht="38.25" hidden="1" x14ac:dyDescent="0.2">
      <c r="A56" s="67"/>
      <c r="B56" s="28"/>
      <c r="C56" s="28"/>
      <c r="D56" s="4" t="s">
        <v>550</v>
      </c>
      <c r="E56" s="4" t="s">
        <v>551</v>
      </c>
      <c r="F56" s="4" t="s">
        <v>552</v>
      </c>
      <c r="G56" s="4" t="s">
        <v>553</v>
      </c>
      <c r="H56" s="27"/>
      <c r="I56" s="27"/>
      <c r="J56" s="27"/>
      <c r="K56" s="27"/>
      <c r="L56" s="27"/>
      <c r="M56" s="24" t="e">
        <f t="shared" si="4"/>
        <v>#DIV/0!</v>
      </c>
      <c r="N56" s="27"/>
      <c r="O56" s="27"/>
      <c r="P56" s="27"/>
      <c r="Q56" s="27"/>
      <c r="R56" s="24" t="e">
        <f t="shared" si="5"/>
        <v>#DIV/0!</v>
      </c>
      <c r="S56" s="15"/>
    </row>
    <row r="57" spans="1:19" ht="140.25" hidden="1" x14ac:dyDescent="0.2">
      <c r="A57" s="68"/>
      <c r="B57" s="28"/>
      <c r="C57" s="28"/>
      <c r="D57" s="4" t="s">
        <v>554</v>
      </c>
      <c r="E57" s="4" t="s">
        <v>555</v>
      </c>
      <c r="F57" s="4" t="s">
        <v>556</v>
      </c>
      <c r="G57" s="4" t="s">
        <v>557</v>
      </c>
      <c r="H57" s="27"/>
      <c r="I57" s="27"/>
      <c r="J57" s="27"/>
      <c r="K57" s="27"/>
      <c r="L57" s="27"/>
      <c r="M57" s="24" t="e">
        <f t="shared" si="4"/>
        <v>#DIV/0!</v>
      </c>
      <c r="N57" s="27"/>
      <c r="O57" s="27"/>
      <c r="P57" s="27"/>
      <c r="Q57" s="27"/>
      <c r="R57" s="24" t="e">
        <f t="shared" si="5"/>
        <v>#DIV/0!</v>
      </c>
      <c r="S57" s="15"/>
    </row>
    <row r="58" spans="1:19" ht="15" hidden="1" x14ac:dyDescent="0.25">
      <c r="A58" s="45" t="s">
        <v>558</v>
      </c>
      <c r="B58" s="45"/>
      <c r="C58" s="45"/>
      <c r="D58" s="45"/>
      <c r="E58" s="45"/>
      <c r="F58" s="45"/>
      <c r="G58" s="45"/>
      <c r="H58"/>
      <c r="I58"/>
      <c r="J58"/>
      <c r="K58"/>
      <c r="L58"/>
      <c r="M58"/>
      <c r="N58"/>
      <c r="O58"/>
      <c r="P58"/>
      <c r="Q58"/>
      <c r="R58"/>
      <c r="S58"/>
    </row>
    <row r="59" spans="1:19" ht="15" hidden="1" x14ac:dyDescent="0.25">
      <c r="A59" s="34"/>
      <c r="B59" s="34"/>
      <c r="C59" s="34"/>
      <c r="D59" s="34"/>
      <c r="E59" s="34"/>
      <c r="F59" s="34"/>
      <c r="G59" s="34"/>
      <c r="H59"/>
      <c r="I59"/>
      <c r="J59"/>
      <c r="K59"/>
      <c r="L59"/>
      <c r="M59"/>
      <c r="N59"/>
      <c r="O59"/>
      <c r="P59"/>
      <c r="Q59"/>
      <c r="R59"/>
      <c r="S59"/>
    </row>
    <row r="60" spans="1:19" ht="15" hidden="1" x14ac:dyDescent="0.25">
      <c r="A60" s="34"/>
      <c r="B60" s="34"/>
      <c r="C60" s="34"/>
      <c r="D60" s="34"/>
      <c r="E60" s="34"/>
      <c r="F60" s="34"/>
      <c r="G60" s="34"/>
      <c r="H60"/>
      <c r="I60"/>
      <c r="J60"/>
      <c r="K60"/>
      <c r="L60"/>
      <c r="M60"/>
      <c r="N60"/>
      <c r="O60"/>
      <c r="P60"/>
      <c r="Q60"/>
      <c r="R60"/>
      <c r="S60"/>
    </row>
    <row r="61" spans="1:19" ht="15" hidden="1" x14ac:dyDescent="0.25">
      <c r="A61" s="34"/>
      <c r="B61" s="34"/>
      <c r="C61" s="34"/>
      <c r="D61" s="34"/>
      <c r="E61" s="34"/>
      <c r="F61" s="34"/>
      <c r="G61" s="34"/>
      <c r="H61"/>
      <c r="I61"/>
      <c r="J61"/>
      <c r="K61"/>
      <c r="L61"/>
      <c r="M61"/>
      <c r="N61"/>
      <c r="O61"/>
      <c r="P61"/>
      <c r="Q61"/>
      <c r="R61"/>
      <c r="S61"/>
    </row>
    <row r="62" spans="1:19" hidden="1" x14ac:dyDescent="0.2">
      <c r="A62" s="34"/>
      <c r="B62" s="34"/>
      <c r="C62" s="34"/>
      <c r="D62" s="34"/>
      <c r="E62" s="34"/>
      <c r="F62" s="34"/>
      <c r="G62" s="34"/>
    </row>
    <row r="63" spans="1:19" hidden="1" x14ac:dyDescent="0.2">
      <c r="A63" s="34"/>
      <c r="B63" s="34"/>
      <c r="C63" s="34"/>
      <c r="D63" s="34"/>
      <c r="E63" s="34"/>
      <c r="F63" s="34"/>
      <c r="G63" s="34"/>
    </row>
    <row r="64" spans="1:19" hidden="1" x14ac:dyDescent="0.2">
      <c r="A64" s="34"/>
      <c r="B64" s="34"/>
      <c r="C64" s="34"/>
      <c r="D64" s="34"/>
      <c r="E64" s="34"/>
      <c r="F64" s="34"/>
      <c r="G64" s="34"/>
    </row>
    <row r="65" spans="1:20" hidden="1" x14ac:dyDescent="0.2">
      <c r="A65" s="34"/>
      <c r="B65" s="34"/>
      <c r="C65" s="34"/>
      <c r="D65" s="34"/>
      <c r="E65" s="34"/>
      <c r="F65" s="34"/>
      <c r="G65" s="34"/>
    </row>
    <row r="66" spans="1:20" ht="12.75" hidden="1" customHeight="1" x14ac:dyDescent="0.2">
      <c r="A66" s="70" t="s">
        <v>1424</v>
      </c>
      <c r="B66" s="70"/>
      <c r="C66" s="70"/>
      <c r="D66" s="70"/>
      <c r="E66" s="70"/>
      <c r="F66" s="70"/>
      <c r="G66" s="70"/>
      <c r="H66" s="51">
        <v>2025</v>
      </c>
      <c r="I66" s="25" t="s">
        <v>1435</v>
      </c>
      <c r="J66" s="25" t="s">
        <v>1440</v>
      </c>
      <c r="K66" s="25" t="s">
        <v>1441</v>
      </c>
      <c r="L66" s="25" t="s">
        <v>1442</v>
      </c>
      <c r="M66" s="25" t="s">
        <v>1444</v>
      </c>
      <c r="N66" s="25" t="s">
        <v>1435</v>
      </c>
      <c r="O66" s="25" t="s">
        <v>1440</v>
      </c>
      <c r="P66" s="25" t="s">
        <v>1441</v>
      </c>
      <c r="Q66" s="25" t="s">
        <v>1442</v>
      </c>
      <c r="R66" s="25" t="s">
        <v>1445</v>
      </c>
      <c r="S66" s="54" t="s">
        <v>1447</v>
      </c>
    </row>
    <row r="67" spans="1:20" ht="15" hidden="1" customHeight="1" x14ac:dyDescent="0.2">
      <c r="A67" s="57" t="s">
        <v>74</v>
      </c>
      <c r="B67" s="58"/>
      <c r="C67" s="58"/>
      <c r="D67" s="58"/>
      <c r="E67" s="58"/>
      <c r="F67" s="58"/>
      <c r="G67" s="59"/>
      <c r="H67" s="52"/>
      <c r="I67" s="25" t="s">
        <v>1436</v>
      </c>
      <c r="J67" s="25" t="s">
        <v>1437</v>
      </c>
      <c r="K67" s="25" t="s">
        <v>1438</v>
      </c>
      <c r="L67" s="25" t="s">
        <v>1439</v>
      </c>
      <c r="M67" s="25" t="s">
        <v>55</v>
      </c>
      <c r="N67" s="25" t="s">
        <v>1436</v>
      </c>
      <c r="O67" s="25" t="s">
        <v>1437</v>
      </c>
      <c r="P67" s="25" t="s">
        <v>1438</v>
      </c>
      <c r="Q67" s="25" t="s">
        <v>1439</v>
      </c>
      <c r="R67" s="25" t="s">
        <v>55</v>
      </c>
      <c r="S67" s="54"/>
    </row>
    <row r="68" spans="1:20" ht="12.75" hidden="1" customHeight="1" x14ac:dyDescent="0.2">
      <c r="A68" s="60"/>
      <c r="B68" s="61"/>
      <c r="C68" s="61"/>
      <c r="D68" s="61"/>
      <c r="E68" s="61"/>
      <c r="F68" s="61"/>
      <c r="G68" s="62"/>
      <c r="H68" s="53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54"/>
    </row>
    <row r="69" spans="1:20" ht="38.25" hidden="1" x14ac:dyDescent="0.2">
      <c r="A69" s="10" t="s">
        <v>1</v>
      </c>
      <c r="B69" s="10" t="s">
        <v>1428</v>
      </c>
      <c r="C69" s="23" t="s">
        <v>1446</v>
      </c>
      <c r="D69" s="10" t="s">
        <v>2</v>
      </c>
      <c r="E69" s="10" t="s">
        <v>3</v>
      </c>
      <c r="F69" s="10" t="s">
        <v>4</v>
      </c>
      <c r="G69" s="10" t="s">
        <v>5</v>
      </c>
      <c r="H69" s="23" t="s">
        <v>1433</v>
      </c>
      <c r="I69" s="23" t="s">
        <v>1434</v>
      </c>
      <c r="J69" s="23" t="s">
        <v>1434</v>
      </c>
      <c r="K69" s="23" t="s">
        <v>1434</v>
      </c>
      <c r="L69" s="23" t="s">
        <v>1434</v>
      </c>
      <c r="M69" s="23" t="s">
        <v>1443</v>
      </c>
      <c r="N69" s="23" t="s">
        <v>1448</v>
      </c>
      <c r="O69" s="23" t="s">
        <v>1448</v>
      </c>
      <c r="P69" s="23" t="s">
        <v>1448</v>
      </c>
      <c r="Q69" s="23" t="s">
        <v>1448</v>
      </c>
      <c r="R69" s="23" t="s">
        <v>1449</v>
      </c>
      <c r="S69" s="54"/>
    </row>
    <row r="70" spans="1:20" ht="76.5" hidden="1" x14ac:dyDescent="0.2">
      <c r="A70" s="66" t="s">
        <v>559</v>
      </c>
      <c r="B70" s="28"/>
      <c r="C70" s="28"/>
      <c r="D70" s="4" t="s">
        <v>560</v>
      </c>
      <c r="E70" s="4" t="s">
        <v>561</v>
      </c>
      <c r="F70" s="4" t="s">
        <v>562</v>
      </c>
      <c r="G70" s="4" t="s">
        <v>563</v>
      </c>
      <c r="H70" s="27"/>
      <c r="I70" s="27"/>
      <c r="J70" s="27"/>
      <c r="K70" s="27"/>
      <c r="L70" s="27"/>
      <c r="M70" s="24" t="e">
        <f>IF(SUM(I70:L70)=H70,SUM(I70:L70)*100%/H70,"Dato erroneo no cumple con la meta Absoluta (establecida)")</f>
        <v>#DIV/0!</v>
      </c>
      <c r="N70" s="27"/>
      <c r="O70" s="27"/>
      <c r="P70" s="27"/>
      <c r="Q70" s="27"/>
      <c r="R70" s="24" t="e">
        <f>SUM(N70:Q70)*100%/H70</f>
        <v>#DIV/0!</v>
      </c>
      <c r="S70" s="15"/>
    </row>
    <row r="71" spans="1:20" ht="89.25" hidden="1" x14ac:dyDescent="0.2">
      <c r="A71" s="67"/>
      <c r="B71" s="28"/>
      <c r="C71" s="28"/>
      <c r="D71" s="4" t="s">
        <v>564</v>
      </c>
      <c r="E71" s="4" t="s">
        <v>565</v>
      </c>
      <c r="F71" s="4" t="s">
        <v>566</v>
      </c>
      <c r="G71" s="4" t="s">
        <v>567</v>
      </c>
      <c r="H71" s="27"/>
      <c r="I71" s="27"/>
      <c r="J71" s="27"/>
      <c r="K71" s="27"/>
      <c r="L71" s="27"/>
      <c r="M71" s="24" t="e">
        <f>IF(SUM(I71:L71)=H71,SUM(I71:L71)*100%/H71,"Dato erroneo no cumple con la meta Absoluta (establecida)")</f>
        <v>#DIV/0!</v>
      </c>
      <c r="N71" s="27"/>
      <c r="O71" s="27"/>
      <c r="P71" s="27"/>
      <c r="Q71" s="27"/>
      <c r="R71" s="24" t="e">
        <f>SUM(N71:Q71)*100%/H71</f>
        <v>#DIV/0!</v>
      </c>
      <c r="S71" s="15"/>
    </row>
    <row r="72" spans="1:20" ht="102" hidden="1" x14ac:dyDescent="0.2">
      <c r="A72" s="67"/>
      <c r="B72" s="28"/>
      <c r="C72" s="28"/>
      <c r="D72" s="4" t="s">
        <v>568</v>
      </c>
      <c r="E72" s="4" t="s">
        <v>569</v>
      </c>
      <c r="F72" s="4" t="s">
        <v>570</v>
      </c>
      <c r="G72" s="4" t="s">
        <v>571</v>
      </c>
      <c r="H72" s="27"/>
      <c r="I72" s="27"/>
      <c r="J72" s="27"/>
      <c r="K72" s="27"/>
      <c r="L72" s="27"/>
      <c r="M72" s="24" t="e">
        <f>IF(SUM(I72:L72)=H72,SUM(I72:L72)*100%/H72,"Dato erroneo no cumple con la meta Absoluta (establecida)")</f>
        <v>#DIV/0!</v>
      </c>
      <c r="N72" s="27"/>
      <c r="O72" s="27"/>
      <c r="P72" s="27"/>
      <c r="Q72" s="27"/>
      <c r="R72" s="24" t="e">
        <f>SUM(N72:Q72)*100%/H72</f>
        <v>#DIV/0!</v>
      </c>
      <c r="S72" s="15"/>
    </row>
    <row r="73" spans="1:20" ht="89.25" hidden="1" x14ac:dyDescent="0.2">
      <c r="A73" s="68"/>
      <c r="B73" s="28"/>
      <c r="C73" s="28"/>
      <c r="D73" s="4" t="s">
        <v>572</v>
      </c>
      <c r="E73" s="4" t="s">
        <v>573</v>
      </c>
      <c r="F73" s="4" t="s">
        <v>574</v>
      </c>
      <c r="G73" s="4" t="s">
        <v>575</v>
      </c>
      <c r="H73" s="27"/>
      <c r="I73" s="27"/>
      <c r="J73" s="27"/>
      <c r="K73" s="27"/>
      <c r="L73" s="27"/>
      <c r="M73" s="24" t="e">
        <f>IF(SUM(I73:L73)=H73,SUM(I73:L73)*100%/H73,"Dato erroneo no cumple con la meta Absoluta (establecida)")</f>
        <v>#DIV/0!</v>
      </c>
      <c r="N73" s="27"/>
      <c r="O73" s="27"/>
      <c r="P73" s="27"/>
      <c r="Q73" s="27"/>
      <c r="R73" s="24" t="e">
        <f>SUM(N73:Q73)*100%/H73</f>
        <v>#DIV/0!</v>
      </c>
      <c r="S73" s="15"/>
    </row>
    <row r="74" spans="1:20" ht="15" hidden="1" x14ac:dyDescent="0.25">
      <c r="A74" s="47" t="s">
        <v>1425</v>
      </c>
      <c r="B74" s="47"/>
      <c r="C74" s="47"/>
      <c r="D74" s="47"/>
      <c r="E74" s="47"/>
      <c r="F74" s="47"/>
      <c r="G74" s="47"/>
      <c r="H74"/>
      <c r="I74"/>
      <c r="J74"/>
      <c r="K74"/>
      <c r="L74"/>
      <c r="M74"/>
      <c r="N74"/>
      <c r="O74"/>
      <c r="P74"/>
      <c r="Q74"/>
      <c r="R74"/>
      <c r="S74"/>
      <c r="T74"/>
    </row>
    <row r="75" spans="1:20" ht="15" hidden="1" x14ac:dyDescent="0.25">
      <c r="A75" s="38"/>
      <c r="B75" s="38"/>
      <c r="C75" s="38"/>
      <c r="D75" s="38"/>
      <c r="E75" s="38"/>
      <c r="F75" s="38"/>
      <c r="G75" s="38"/>
      <c r="H75"/>
      <c r="I75"/>
      <c r="J75"/>
      <c r="K75"/>
      <c r="L75"/>
      <c r="M75"/>
      <c r="N75"/>
      <c r="O75"/>
      <c r="P75"/>
      <c r="Q75"/>
      <c r="R75"/>
      <c r="S75"/>
      <c r="T75"/>
    </row>
    <row r="76" spans="1:20" ht="15" hidden="1" x14ac:dyDescent="0.25">
      <c r="A76" s="38"/>
      <c r="B76" s="38"/>
      <c r="C76" s="38"/>
      <c r="D76" s="38"/>
      <c r="E76" s="38"/>
      <c r="F76" s="38"/>
      <c r="G76" s="38"/>
      <c r="H76"/>
      <c r="I76"/>
      <c r="J76"/>
      <c r="K76"/>
      <c r="L76"/>
      <c r="M76"/>
      <c r="N76"/>
      <c r="O76"/>
      <c r="P76"/>
      <c r="Q76"/>
      <c r="R76"/>
      <c r="S76"/>
      <c r="T76"/>
    </row>
    <row r="77" spans="1:20" ht="15" hidden="1" x14ac:dyDescent="0.25">
      <c r="A77" s="38"/>
      <c r="B77" s="38"/>
      <c r="C77" s="38"/>
      <c r="D77" s="38"/>
      <c r="E77" s="38"/>
      <c r="F77" s="38"/>
      <c r="G77" s="38"/>
      <c r="H77"/>
      <c r="I77"/>
      <c r="J77"/>
      <c r="K77"/>
      <c r="L77"/>
      <c r="M77"/>
      <c r="N77"/>
      <c r="O77"/>
      <c r="P77"/>
      <c r="Q77"/>
      <c r="R77"/>
      <c r="S77"/>
      <c r="T77"/>
    </row>
    <row r="78" spans="1:20" hidden="1" x14ac:dyDescent="0.2">
      <c r="A78" s="38"/>
      <c r="B78" s="38"/>
      <c r="C78" s="38"/>
      <c r="D78" s="38"/>
      <c r="E78" s="38"/>
      <c r="F78" s="38"/>
      <c r="G78" s="38"/>
    </row>
    <row r="79" spans="1:20" hidden="1" x14ac:dyDescent="0.2">
      <c r="A79" s="38"/>
      <c r="B79" s="38"/>
      <c r="C79" s="38"/>
      <c r="D79" s="38"/>
      <c r="E79" s="38"/>
      <c r="F79" s="38"/>
      <c r="G79" s="38"/>
    </row>
    <row r="80" spans="1:20" hidden="1" x14ac:dyDescent="0.2">
      <c r="A80" s="7"/>
      <c r="B80" s="7"/>
      <c r="C80" s="7"/>
      <c r="D80" s="7"/>
      <c r="E80" s="7"/>
      <c r="F80" s="7"/>
      <c r="G80" s="7"/>
    </row>
    <row r="81" spans="1:20" hidden="1" x14ac:dyDescent="0.2">
      <c r="A81" s="7"/>
      <c r="B81" s="7"/>
      <c r="C81" s="7"/>
      <c r="D81" s="7"/>
      <c r="E81" s="7"/>
      <c r="F81" s="7"/>
      <c r="G81" s="7"/>
    </row>
    <row r="82" spans="1:20" ht="12.75" hidden="1" customHeight="1" x14ac:dyDescent="0.2">
      <c r="A82" s="70" t="s">
        <v>1424</v>
      </c>
      <c r="B82" s="70"/>
      <c r="C82" s="70"/>
      <c r="D82" s="70"/>
      <c r="E82" s="70"/>
      <c r="F82" s="70"/>
      <c r="G82" s="70"/>
      <c r="H82" s="51">
        <v>2025</v>
      </c>
      <c r="I82" s="25" t="s">
        <v>1435</v>
      </c>
      <c r="J82" s="25" t="s">
        <v>1440</v>
      </c>
      <c r="K82" s="25" t="s">
        <v>1441</v>
      </c>
      <c r="L82" s="25" t="s">
        <v>1442</v>
      </c>
      <c r="M82" s="25" t="s">
        <v>1444</v>
      </c>
      <c r="N82" s="25" t="s">
        <v>1435</v>
      </c>
      <c r="O82" s="25" t="s">
        <v>1440</v>
      </c>
      <c r="P82" s="25" t="s">
        <v>1441</v>
      </c>
      <c r="Q82" s="25" t="s">
        <v>1442</v>
      </c>
      <c r="R82" s="25" t="s">
        <v>1445</v>
      </c>
      <c r="S82" s="54" t="s">
        <v>1447</v>
      </c>
    </row>
    <row r="83" spans="1:20" ht="15" hidden="1" customHeight="1" x14ac:dyDescent="0.2">
      <c r="A83" s="57" t="s">
        <v>75</v>
      </c>
      <c r="B83" s="58"/>
      <c r="C83" s="58"/>
      <c r="D83" s="58"/>
      <c r="E83" s="58"/>
      <c r="F83" s="58"/>
      <c r="G83" s="59"/>
      <c r="H83" s="52"/>
      <c r="I83" s="25" t="s">
        <v>1436</v>
      </c>
      <c r="J83" s="25" t="s">
        <v>1437</v>
      </c>
      <c r="K83" s="25" t="s">
        <v>1438</v>
      </c>
      <c r="L83" s="25" t="s">
        <v>1439</v>
      </c>
      <c r="M83" s="25" t="s">
        <v>55</v>
      </c>
      <c r="N83" s="25" t="s">
        <v>1436</v>
      </c>
      <c r="O83" s="25" t="s">
        <v>1437</v>
      </c>
      <c r="P83" s="25" t="s">
        <v>1438</v>
      </c>
      <c r="Q83" s="25" t="s">
        <v>1439</v>
      </c>
      <c r="R83" s="25" t="s">
        <v>55</v>
      </c>
      <c r="S83" s="54"/>
    </row>
    <row r="84" spans="1:20" ht="12.75" hidden="1" customHeight="1" x14ac:dyDescent="0.2">
      <c r="A84" s="60"/>
      <c r="B84" s="61"/>
      <c r="C84" s="61"/>
      <c r="D84" s="61"/>
      <c r="E84" s="61"/>
      <c r="F84" s="61"/>
      <c r="G84" s="62"/>
      <c r="H84" s="53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54"/>
    </row>
    <row r="85" spans="1:20" ht="38.25" hidden="1" x14ac:dyDescent="0.2">
      <c r="A85" s="10" t="s">
        <v>1</v>
      </c>
      <c r="B85" s="10" t="s">
        <v>1428</v>
      </c>
      <c r="C85" s="23" t="s">
        <v>1446</v>
      </c>
      <c r="D85" s="10" t="s">
        <v>2</v>
      </c>
      <c r="E85" s="10" t="s">
        <v>3</v>
      </c>
      <c r="F85" s="10" t="s">
        <v>4</v>
      </c>
      <c r="G85" s="10" t="s">
        <v>5</v>
      </c>
      <c r="H85" s="23" t="s">
        <v>1433</v>
      </c>
      <c r="I85" s="23" t="s">
        <v>1434</v>
      </c>
      <c r="J85" s="23" t="s">
        <v>1434</v>
      </c>
      <c r="K85" s="23" t="s">
        <v>1434</v>
      </c>
      <c r="L85" s="23" t="s">
        <v>1434</v>
      </c>
      <c r="M85" s="23" t="s">
        <v>1443</v>
      </c>
      <c r="N85" s="23" t="s">
        <v>1448</v>
      </c>
      <c r="O85" s="23" t="s">
        <v>1448</v>
      </c>
      <c r="P85" s="23" t="s">
        <v>1448</v>
      </c>
      <c r="Q85" s="23" t="s">
        <v>1448</v>
      </c>
      <c r="R85" s="23" t="s">
        <v>1449</v>
      </c>
      <c r="S85" s="54"/>
    </row>
    <row r="86" spans="1:20" ht="76.5" hidden="1" x14ac:dyDescent="0.2">
      <c r="A86" s="66" t="s">
        <v>576</v>
      </c>
      <c r="B86" s="28"/>
      <c r="C86" s="28"/>
      <c r="D86" s="4" t="s">
        <v>577</v>
      </c>
      <c r="E86" s="4" t="s">
        <v>578</v>
      </c>
      <c r="F86" s="4" t="s">
        <v>579</v>
      </c>
      <c r="G86" s="4" t="s">
        <v>580</v>
      </c>
      <c r="H86" s="27"/>
      <c r="I86" s="27"/>
      <c r="J86" s="27"/>
      <c r="K86" s="27"/>
      <c r="L86" s="27"/>
      <c r="M86" s="24" t="e">
        <f>IF(SUM(I86:L86)=H86,SUM(I86:L86)*100%/H86,"Dato erroneo no cumple con la meta Absoluta (establecida)")</f>
        <v>#DIV/0!</v>
      </c>
      <c r="N86" s="27"/>
      <c r="O86" s="27"/>
      <c r="P86" s="27"/>
      <c r="Q86" s="27"/>
      <c r="R86" s="24" t="e">
        <f>SUM(N86:Q86)*100%/H86</f>
        <v>#DIV/0!</v>
      </c>
      <c r="S86" s="15"/>
    </row>
    <row r="87" spans="1:20" ht="76.5" hidden="1" x14ac:dyDescent="0.2">
      <c r="A87" s="67"/>
      <c r="B87" s="28"/>
      <c r="C87" s="28"/>
      <c r="D87" s="4" t="s">
        <v>581</v>
      </c>
      <c r="E87" s="4" t="s">
        <v>582</v>
      </c>
      <c r="F87" s="4" t="s">
        <v>583</v>
      </c>
      <c r="G87" s="4" t="s">
        <v>584</v>
      </c>
      <c r="H87" s="27"/>
      <c r="I87" s="27"/>
      <c r="J87" s="27"/>
      <c r="K87" s="27"/>
      <c r="L87" s="27"/>
      <c r="M87" s="24" t="e">
        <f t="shared" ref="M87:M89" si="6">IF(SUM(I87:L87)=H87,SUM(I87:L87)*100%/H87,"Dato erroneo no cumple con la meta Absoluta (establecida)")</f>
        <v>#DIV/0!</v>
      </c>
      <c r="N87" s="27"/>
      <c r="O87" s="27"/>
      <c r="P87" s="27"/>
      <c r="Q87" s="27"/>
      <c r="R87" s="24" t="e">
        <f t="shared" ref="R87:R89" si="7">SUM(N87:Q87)*100%/H87</f>
        <v>#DIV/0!</v>
      </c>
      <c r="S87" s="15"/>
    </row>
    <row r="88" spans="1:20" ht="63.75" hidden="1" x14ac:dyDescent="0.2">
      <c r="A88" s="67"/>
      <c r="B88" s="28"/>
      <c r="C88" s="28"/>
      <c r="D88" s="4" t="s">
        <v>585</v>
      </c>
      <c r="E88" s="4" t="s">
        <v>586</v>
      </c>
      <c r="F88" s="4" t="s">
        <v>587</v>
      </c>
      <c r="G88" s="4" t="s">
        <v>588</v>
      </c>
      <c r="H88" s="27"/>
      <c r="I88" s="27"/>
      <c r="J88" s="27"/>
      <c r="K88" s="27"/>
      <c r="L88" s="27"/>
      <c r="M88" s="24" t="e">
        <f t="shared" si="6"/>
        <v>#DIV/0!</v>
      </c>
      <c r="N88" s="27"/>
      <c r="O88" s="27"/>
      <c r="P88" s="27"/>
      <c r="Q88" s="27"/>
      <c r="R88" s="24" t="e">
        <f t="shared" si="7"/>
        <v>#DIV/0!</v>
      </c>
      <c r="S88" s="15"/>
    </row>
    <row r="89" spans="1:20" ht="76.5" hidden="1" x14ac:dyDescent="0.2">
      <c r="A89" s="68"/>
      <c r="B89" s="28"/>
      <c r="C89" s="28"/>
      <c r="D89" s="4" t="s">
        <v>589</v>
      </c>
      <c r="E89" s="4" t="s">
        <v>226</v>
      </c>
      <c r="F89" s="4" t="s">
        <v>590</v>
      </c>
      <c r="G89" s="4" t="s">
        <v>591</v>
      </c>
      <c r="H89" s="27"/>
      <c r="I89" s="27"/>
      <c r="J89" s="27"/>
      <c r="K89" s="27"/>
      <c r="L89" s="27"/>
      <c r="M89" s="24" t="e">
        <f t="shared" si="6"/>
        <v>#DIV/0!</v>
      </c>
      <c r="N89" s="27"/>
      <c r="O89" s="27"/>
      <c r="P89" s="27"/>
      <c r="Q89" s="27"/>
      <c r="R89" s="24" t="e">
        <f t="shared" si="7"/>
        <v>#DIV/0!</v>
      </c>
      <c r="S89" s="15"/>
    </row>
    <row r="90" spans="1:20" ht="15" hidden="1" x14ac:dyDescent="0.25">
      <c r="A90" s="46" t="s">
        <v>592</v>
      </c>
      <c r="B90" s="46"/>
      <c r="C90" s="46"/>
      <c r="D90" s="46"/>
      <c r="E90" s="46"/>
      <c r="F90" s="46"/>
      <c r="G90" s="46"/>
      <c r="H90"/>
      <c r="I90"/>
      <c r="J90"/>
      <c r="K90"/>
      <c r="L90"/>
      <c r="M90"/>
      <c r="N90"/>
      <c r="O90"/>
      <c r="P90"/>
      <c r="Q90"/>
      <c r="R90"/>
      <c r="S90"/>
      <c r="T90"/>
    </row>
    <row r="91" spans="1:20" ht="15" hidden="1" x14ac:dyDescent="0.25">
      <c r="A91" s="46"/>
      <c r="B91" s="46"/>
      <c r="C91" s="46"/>
      <c r="D91" s="46"/>
      <c r="E91" s="46"/>
      <c r="F91" s="46"/>
      <c r="G91" s="46"/>
      <c r="H91"/>
      <c r="I91"/>
      <c r="J91"/>
      <c r="K91"/>
      <c r="L91"/>
      <c r="M91"/>
      <c r="N91"/>
      <c r="O91"/>
      <c r="P91"/>
      <c r="Q91"/>
      <c r="R91"/>
      <c r="S91"/>
      <c r="T91"/>
    </row>
    <row r="92" spans="1:20" ht="15" hidden="1" x14ac:dyDescent="0.25">
      <c r="A92" s="46"/>
      <c r="B92" s="46"/>
      <c r="C92" s="46"/>
      <c r="D92" s="46"/>
      <c r="E92" s="46"/>
      <c r="F92" s="46"/>
      <c r="G92" s="46"/>
      <c r="H92"/>
      <c r="I92"/>
      <c r="J92"/>
      <c r="K92"/>
      <c r="L92"/>
      <c r="M92"/>
      <c r="N92"/>
      <c r="O92"/>
      <c r="P92"/>
      <c r="Q92"/>
      <c r="R92"/>
      <c r="S92"/>
      <c r="T92"/>
    </row>
    <row r="93" spans="1:20" hidden="1" x14ac:dyDescent="0.2">
      <c r="A93" s="46"/>
      <c r="B93" s="46"/>
      <c r="C93" s="46"/>
      <c r="D93" s="46"/>
      <c r="E93" s="46"/>
      <c r="F93" s="46"/>
      <c r="G93" s="46"/>
    </row>
    <row r="94" spans="1:20" hidden="1" x14ac:dyDescent="0.2">
      <c r="A94" s="46"/>
      <c r="B94" s="46"/>
      <c r="C94" s="46"/>
      <c r="D94" s="46"/>
      <c r="E94" s="46"/>
      <c r="F94" s="46"/>
      <c r="G94" s="46"/>
    </row>
    <row r="95" spans="1:20" hidden="1" x14ac:dyDescent="0.2">
      <c r="A95" s="46"/>
      <c r="B95" s="46"/>
      <c r="C95" s="46"/>
      <c r="D95" s="46"/>
      <c r="E95" s="46"/>
      <c r="F95" s="46"/>
      <c r="G95" s="46"/>
    </row>
    <row r="96" spans="1:20" hidden="1" x14ac:dyDescent="0.2">
      <c r="A96" s="34"/>
      <c r="B96" s="34"/>
      <c r="C96" s="34"/>
      <c r="D96" s="34"/>
      <c r="E96" s="34"/>
      <c r="F96" s="34"/>
      <c r="G96" s="34"/>
    </row>
    <row r="97" spans="1:19" hidden="1" x14ac:dyDescent="0.2">
      <c r="A97" s="34"/>
      <c r="B97" s="34"/>
      <c r="C97" s="34"/>
      <c r="D97" s="34"/>
      <c r="E97" s="34"/>
      <c r="F97" s="34"/>
      <c r="G97" s="34"/>
    </row>
    <row r="98" spans="1:19" ht="12.75" hidden="1" customHeight="1" x14ac:dyDescent="0.2">
      <c r="A98" s="70" t="s">
        <v>1424</v>
      </c>
      <c r="B98" s="70"/>
      <c r="C98" s="70"/>
      <c r="D98" s="70"/>
      <c r="E98" s="70"/>
      <c r="F98" s="70"/>
      <c r="G98" s="70"/>
      <c r="H98" s="51">
        <v>2025</v>
      </c>
      <c r="I98" s="25" t="s">
        <v>1435</v>
      </c>
      <c r="J98" s="25" t="s">
        <v>1440</v>
      </c>
      <c r="K98" s="25" t="s">
        <v>1441</v>
      </c>
      <c r="L98" s="25" t="s">
        <v>1442</v>
      </c>
      <c r="M98" s="25" t="s">
        <v>1444</v>
      </c>
      <c r="N98" s="25" t="s">
        <v>1435</v>
      </c>
      <c r="O98" s="25" t="s">
        <v>1440</v>
      </c>
      <c r="P98" s="25" t="s">
        <v>1441</v>
      </c>
      <c r="Q98" s="25" t="s">
        <v>1442</v>
      </c>
      <c r="R98" s="25" t="s">
        <v>1445</v>
      </c>
      <c r="S98" s="54" t="s">
        <v>1447</v>
      </c>
    </row>
    <row r="99" spans="1:19" ht="15" hidden="1" customHeight="1" x14ac:dyDescent="0.2">
      <c r="A99" s="57" t="s">
        <v>76</v>
      </c>
      <c r="B99" s="58"/>
      <c r="C99" s="58"/>
      <c r="D99" s="58"/>
      <c r="E99" s="58"/>
      <c r="F99" s="58"/>
      <c r="G99" s="59"/>
      <c r="H99" s="52"/>
      <c r="I99" s="25" t="s">
        <v>1436</v>
      </c>
      <c r="J99" s="25" t="s">
        <v>1437</v>
      </c>
      <c r="K99" s="25" t="s">
        <v>1438</v>
      </c>
      <c r="L99" s="25" t="s">
        <v>1439</v>
      </c>
      <c r="M99" s="25" t="s">
        <v>55</v>
      </c>
      <c r="N99" s="25" t="s">
        <v>1436</v>
      </c>
      <c r="O99" s="25" t="s">
        <v>1437</v>
      </c>
      <c r="P99" s="25" t="s">
        <v>1438</v>
      </c>
      <c r="Q99" s="25" t="s">
        <v>1439</v>
      </c>
      <c r="R99" s="25" t="s">
        <v>55</v>
      </c>
      <c r="S99" s="54"/>
    </row>
    <row r="100" spans="1:19" ht="12.75" hidden="1" customHeight="1" x14ac:dyDescent="0.2">
      <c r="A100" s="60"/>
      <c r="B100" s="61"/>
      <c r="C100" s="61"/>
      <c r="D100" s="61"/>
      <c r="E100" s="61"/>
      <c r="F100" s="61"/>
      <c r="G100" s="62"/>
      <c r="H100" s="53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54"/>
    </row>
    <row r="101" spans="1:19" ht="38.25" hidden="1" x14ac:dyDescent="0.2">
      <c r="A101" s="10" t="s">
        <v>1</v>
      </c>
      <c r="B101" s="10" t="s">
        <v>1428</v>
      </c>
      <c r="C101" s="23" t="s">
        <v>1446</v>
      </c>
      <c r="D101" s="10" t="s">
        <v>2</v>
      </c>
      <c r="E101" s="10" t="s">
        <v>3</v>
      </c>
      <c r="F101" s="10" t="s">
        <v>4</v>
      </c>
      <c r="G101" s="10" t="s">
        <v>5</v>
      </c>
      <c r="H101" s="23" t="s">
        <v>1433</v>
      </c>
      <c r="I101" s="23" t="s">
        <v>1434</v>
      </c>
      <c r="J101" s="23" t="s">
        <v>1434</v>
      </c>
      <c r="K101" s="23" t="s">
        <v>1434</v>
      </c>
      <c r="L101" s="23" t="s">
        <v>1434</v>
      </c>
      <c r="M101" s="23" t="s">
        <v>1443</v>
      </c>
      <c r="N101" s="23" t="s">
        <v>1448</v>
      </c>
      <c r="O101" s="23" t="s">
        <v>1448</v>
      </c>
      <c r="P101" s="23" t="s">
        <v>1448</v>
      </c>
      <c r="Q101" s="23" t="s">
        <v>1448</v>
      </c>
      <c r="R101" s="23" t="s">
        <v>1449</v>
      </c>
      <c r="S101" s="54"/>
    </row>
    <row r="102" spans="1:19" ht="29.25" hidden="1" customHeight="1" x14ac:dyDescent="0.2">
      <c r="A102" s="66" t="s">
        <v>593</v>
      </c>
      <c r="B102" s="28"/>
      <c r="C102" s="28"/>
      <c r="D102" s="6" t="s">
        <v>594</v>
      </c>
      <c r="E102" s="6" t="s">
        <v>595</v>
      </c>
      <c r="F102" s="4">
        <v>1</v>
      </c>
      <c r="G102" s="6" t="s">
        <v>55</v>
      </c>
      <c r="H102" s="27"/>
      <c r="I102" s="27"/>
      <c r="J102" s="27"/>
      <c r="K102" s="27"/>
      <c r="L102" s="27"/>
      <c r="M102" s="24" t="e">
        <f>IF(SUM(I102:L102)=H102,SUM(I102:L102)*100%/H102,"Dato erroneo no cumple con la meta Absoluta (establecida)")</f>
        <v>#DIV/0!</v>
      </c>
      <c r="N102" s="27"/>
      <c r="O102" s="27"/>
      <c r="P102" s="27"/>
      <c r="Q102" s="27"/>
      <c r="R102" s="24" t="e">
        <f>SUM(N102:Q102)*100%/H102</f>
        <v>#DIV/0!</v>
      </c>
      <c r="S102" s="15"/>
    </row>
    <row r="103" spans="1:19" ht="29.25" hidden="1" customHeight="1" x14ac:dyDescent="0.2">
      <c r="A103" s="67"/>
      <c r="B103" s="28"/>
      <c r="C103" s="28"/>
      <c r="D103" s="6"/>
      <c r="E103" s="6"/>
      <c r="F103" s="4">
        <v>1</v>
      </c>
      <c r="G103" s="6"/>
      <c r="H103" s="27"/>
      <c r="I103" s="27"/>
      <c r="J103" s="27"/>
      <c r="K103" s="27"/>
      <c r="L103" s="27"/>
      <c r="M103" s="24" t="e">
        <f t="shared" ref="M103:M112" si="8">IF(SUM(I103:L103)=H103,SUM(I103:L103)*100%/H103,"Dato erroneo no cumple con la meta Absoluta (establecida)")</f>
        <v>#DIV/0!</v>
      </c>
      <c r="N103" s="27"/>
      <c r="O103" s="27"/>
      <c r="P103" s="27"/>
      <c r="Q103" s="27"/>
      <c r="R103" s="24" t="e">
        <f t="shared" ref="R103:R112" si="9">SUM(N103:Q103)*100%/H103</f>
        <v>#DIV/0!</v>
      </c>
      <c r="S103" s="15"/>
    </row>
    <row r="104" spans="1:19" ht="51" hidden="1" x14ac:dyDescent="0.2">
      <c r="A104" s="67"/>
      <c r="B104" s="28"/>
      <c r="C104" s="28"/>
      <c r="D104" s="4" t="s">
        <v>596</v>
      </c>
      <c r="E104" s="4" t="s">
        <v>528</v>
      </c>
      <c r="F104" s="4">
        <v>3</v>
      </c>
      <c r="G104" s="4" t="s">
        <v>55</v>
      </c>
      <c r="H104" s="27"/>
      <c r="I104" s="27"/>
      <c r="J104" s="27"/>
      <c r="K104" s="27"/>
      <c r="L104" s="27"/>
      <c r="M104" s="24" t="e">
        <f t="shared" si="8"/>
        <v>#DIV/0!</v>
      </c>
      <c r="N104" s="27"/>
      <c r="O104" s="27"/>
      <c r="P104" s="27"/>
      <c r="Q104" s="27"/>
      <c r="R104" s="24" t="e">
        <f t="shared" si="9"/>
        <v>#DIV/0!</v>
      </c>
      <c r="S104" s="15"/>
    </row>
    <row r="105" spans="1:19" ht="76.5" hidden="1" x14ac:dyDescent="0.2">
      <c r="A105" s="67"/>
      <c r="B105" s="28"/>
      <c r="C105" s="28"/>
      <c r="D105" s="4" t="s">
        <v>597</v>
      </c>
      <c r="E105" s="4" t="s">
        <v>598</v>
      </c>
      <c r="F105" s="4">
        <v>1</v>
      </c>
      <c r="G105" s="4" t="s">
        <v>55</v>
      </c>
      <c r="H105" s="27"/>
      <c r="I105" s="27"/>
      <c r="J105" s="27"/>
      <c r="K105" s="27"/>
      <c r="L105" s="27"/>
      <c r="M105" s="24" t="e">
        <f t="shared" si="8"/>
        <v>#DIV/0!</v>
      </c>
      <c r="N105" s="27"/>
      <c r="O105" s="27"/>
      <c r="P105" s="27"/>
      <c r="Q105" s="27"/>
      <c r="R105" s="24" t="e">
        <f t="shared" si="9"/>
        <v>#DIV/0!</v>
      </c>
      <c r="S105" s="15"/>
    </row>
    <row r="106" spans="1:19" ht="63.75" hidden="1" x14ac:dyDescent="0.2">
      <c r="A106" s="67"/>
      <c r="B106" s="28"/>
      <c r="C106" s="28"/>
      <c r="D106" s="4" t="s">
        <v>599</v>
      </c>
      <c r="E106" s="4" t="s">
        <v>68</v>
      </c>
      <c r="F106" s="4">
        <v>8</v>
      </c>
      <c r="G106" s="4" t="s">
        <v>55</v>
      </c>
      <c r="H106" s="27"/>
      <c r="I106" s="27"/>
      <c r="J106" s="27"/>
      <c r="K106" s="27"/>
      <c r="L106" s="27"/>
      <c r="M106" s="24" t="e">
        <f t="shared" si="8"/>
        <v>#DIV/0!</v>
      </c>
      <c r="N106" s="27"/>
      <c r="O106" s="27"/>
      <c r="P106" s="27"/>
      <c r="Q106" s="27"/>
      <c r="R106" s="24" t="e">
        <f t="shared" si="9"/>
        <v>#DIV/0!</v>
      </c>
      <c r="S106" s="15"/>
    </row>
    <row r="107" spans="1:19" ht="102" hidden="1" x14ac:dyDescent="0.2">
      <c r="A107" s="67"/>
      <c r="B107" s="28"/>
      <c r="C107" s="28"/>
      <c r="D107" s="4" t="s">
        <v>1427</v>
      </c>
      <c r="E107" s="4" t="s">
        <v>600</v>
      </c>
      <c r="F107" s="4" t="s">
        <v>1426</v>
      </c>
      <c r="G107" s="4" t="s">
        <v>601</v>
      </c>
      <c r="H107" s="27"/>
      <c r="I107" s="27"/>
      <c r="J107" s="27"/>
      <c r="K107" s="27"/>
      <c r="L107" s="27"/>
      <c r="M107" s="24" t="e">
        <f t="shared" si="8"/>
        <v>#DIV/0!</v>
      </c>
      <c r="N107" s="27"/>
      <c r="O107" s="27"/>
      <c r="P107" s="27"/>
      <c r="Q107" s="27"/>
      <c r="R107" s="24" t="e">
        <f t="shared" si="9"/>
        <v>#DIV/0!</v>
      </c>
      <c r="S107" s="15"/>
    </row>
    <row r="108" spans="1:19" ht="51" hidden="1" x14ac:dyDescent="0.2">
      <c r="A108" s="67"/>
      <c r="B108" s="28"/>
      <c r="C108" s="28"/>
      <c r="D108" s="4" t="s">
        <v>602</v>
      </c>
      <c r="E108" s="4" t="s">
        <v>603</v>
      </c>
      <c r="F108" s="6" t="s">
        <v>604</v>
      </c>
      <c r="G108" s="4" t="s">
        <v>605</v>
      </c>
      <c r="H108" s="27"/>
      <c r="I108" s="27"/>
      <c r="J108" s="27"/>
      <c r="K108" s="27"/>
      <c r="L108" s="27"/>
      <c r="M108" s="24" t="e">
        <f t="shared" si="8"/>
        <v>#DIV/0!</v>
      </c>
      <c r="N108" s="27"/>
      <c r="O108" s="27"/>
      <c r="P108" s="27"/>
      <c r="Q108" s="27"/>
      <c r="R108" s="24" t="e">
        <f t="shared" si="9"/>
        <v>#DIV/0!</v>
      </c>
      <c r="S108" s="15"/>
    </row>
    <row r="109" spans="1:19" ht="38.25" hidden="1" x14ac:dyDescent="0.2">
      <c r="A109" s="67"/>
      <c r="B109" s="28"/>
      <c r="C109" s="28"/>
      <c r="D109" s="4" t="s">
        <v>606</v>
      </c>
      <c r="E109" s="4" t="s">
        <v>607</v>
      </c>
      <c r="F109" s="6"/>
      <c r="G109" s="4" t="s">
        <v>55</v>
      </c>
      <c r="H109" s="27"/>
      <c r="I109" s="27"/>
      <c r="J109" s="27"/>
      <c r="K109" s="27"/>
      <c r="L109" s="27"/>
      <c r="M109" s="24" t="e">
        <f t="shared" si="8"/>
        <v>#DIV/0!</v>
      </c>
      <c r="N109" s="27"/>
      <c r="O109" s="27"/>
      <c r="P109" s="27"/>
      <c r="Q109" s="27"/>
      <c r="R109" s="24" t="e">
        <f t="shared" si="9"/>
        <v>#DIV/0!</v>
      </c>
      <c r="S109" s="15"/>
    </row>
    <row r="110" spans="1:19" ht="76.5" hidden="1" x14ac:dyDescent="0.2">
      <c r="A110" s="67"/>
      <c r="B110" s="28"/>
      <c r="C110" s="28"/>
      <c r="D110" s="4" t="s">
        <v>608</v>
      </c>
      <c r="E110" s="4" t="s">
        <v>609</v>
      </c>
      <c r="F110" s="6"/>
      <c r="G110" s="4" t="s">
        <v>55</v>
      </c>
      <c r="H110" s="27"/>
      <c r="I110" s="27"/>
      <c r="J110" s="27"/>
      <c r="K110" s="27"/>
      <c r="L110" s="27"/>
      <c r="M110" s="24" t="e">
        <f t="shared" si="8"/>
        <v>#DIV/0!</v>
      </c>
      <c r="N110" s="27"/>
      <c r="O110" s="27"/>
      <c r="P110" s="27"/>
      <c r="Q110" s="27"/>
      <c r="R110" s="24" t="e">
        <f t="shared" si="9"/>
        <v>#DIV/0!</v>
      </c>
      <c r="S110" s="15"/>
    </row>
    <row r="111" spans="1:19" ht="38.25" hidden="1" x14ac:dyDescent="0.2">
      <c r="A111" s="67"/>
      <c r="B111" s="28"/>
      <c r="C111" s="28"/>
      <c r="D111" s="4" t="s">
        <v>610</v>
      </c>
      <c r="E111" s="4" t="s">
        <v>603</v>
      </c>
      <c r="F111" s="6"/>
      <c r="G111" s="4" t="s">
        <v>55</v>
      </c>
      <c r="H111" s="27"/>
      <c r="I111" s="27"/>
      <c r="J111" s="27"/>
      <c r="K111" s="27"/>
      <c r="L111" s="27"/>
      <c r="M111" s="24" t="e">
        <f t="shared" si="8"/>
        <v>#DIV/0!</v>
      </c>
      <c r="N111" s="27"/>
      <c r="O111" s="27"/>
      <c r="P111" s="27"/>
      <c r="Q111" s="27"/>
      <c r="R111" s="24" t="e">
        <f t="shared" si="9"/>
        <v>#DIV/0!</v>
      </c>
      <c r="S111" s="15"/>
    </row>
    <row r="112" spans="1:19" ht="76.5" hidden="1" x14ac:dyDescent="0.2">
      <c r="A112" s="68"/>
      <c r="B112" s="28"/>
      <c r="C112" s="28"/>
      <c r="D112" s="4" t="s">
        <v>611</v>
      </c>
      <c r="E112" s="4" t="s">
        <v>612</v>
      </c>
      <c r="F112" s="4" t="s">
        <v>613</v>
      </c>
      <c r="G112" s="4" t="s">
        <v>614</v>
      </c>
      <c r="H112" s="27"/>
      <c r="I112" s="27"/>
      <c r="J112" s="27"/>
      <c r="K112" s="27"/>
      <c r="L112" s="27"/>
      <c r="M112" s="24" t="e">
        <f t="shared" si="8"/>
        <v>#DIV/0!</v>
      </c>
      <c r="N112" s="27"/>
      <c r="O112" s="27"/>
      <c r="P112" s="27"/>
      <c r="Q112" s="27"/>
      <c r="R112" s="24" t="e">
        <f t="shared" si="9"/>
        <v>#DIV/0!</v>
      </c>
      <c r="S112" s="15"/>
    </row>
    <row r="113" spans="1:19" ht="15" hidden="1" x14ac:dyDescent="0.25">
      <c r="A113" s="46" t="s">
        <v>615</v>
      </c>
      <c r="B113" s="46"/>
      <c r="C113" s="46"/>
      <c r="D113" s="46"/>
      <c r="E113" s="46"/>
      <c r="F113" s="46"/>
      <c r="G113" s="46"/>
      <c r="H113"/>
      <c r="I113"/>
      <c r="J113"/>
      <c r="K113"/>
      <c r="L113"/>
      <c r="M113"/>
      <c r="N113"/>
      <c r="O113"/>
      <c r="P113"/>
      <c r="Q113"/>
      <c r="R113"/>
      <c r="S113"/>
    </row>
    <row r="114" spans="1:19" ht="15" hidden="1" x14ac:dyDescent="0.25">
      <c r="A114" s="34"/>
      <c r="B114" s="34"/>
      <c r="C114" s="34"/>
      <c r="D114" s="34"/>
      <c r="E114" s="34"/>
      <c r="F114" s="34"/>
      <c r="G114" s="34"/>
      <c r="H114"/>
      <c r="I114"/>
      <c r="J114"/>
      <c r="K114"/>
      <c r="L114"/>
      <c r="M114"/>
      <c r="N114"/>
      <c r="O114"/>
      <c r="P114"/>
      <c r="Q114"/>
      <c r="R114"/>
      <c r="S114"/>
    </row>
    <row r="115" spans="1:19" ht="15" hidden="1" x14ac:dyDescent="0.25">
      <c r="A115" s="34"/>
      <c r="B115" s="34"/>
      <c r="C115" s="34"/>
      <c r="D115" s="34"/>
      <c r="E115" s="34"/>
      <c r="F115" s="34"/>
      <c r="G115" s="34"/>
      <c r="H115"/>
      <c r="I115"/>
      <c r="J115"/>
      <c r="K115"/>
      <c r="L115"/>
      <c r="M115"/>
      <c r="N115"/>
      <c r="O115"/>
      <c r="P115"/>
      <c r="Q115"/>
      <c r="R115"/>
      <c r="S115"/>
    </row>
    <row r="116" spans="1:19" hidden="1" x14ac:dyDescent="0.2">
      <c r="A116" s="34"/>
      <c r="B116" s="34"/>
      <c r="C116" s="34"/>
      <c r="D116" s="34"/>
      <c r="E116" s="34"/>
      <c r="F116" s="34"/>
      <c r="G116" s="34"/>
    </row>
    <row r="117" spans="1:19" hidden="1" x14ac:dyDescent="0.2">
      <c r="A117" s="34"/>
      <c r="B117" s="34"/>
      <c r="C117" s="34"/>
      <c r="D117" s="34"/>
      <c r="E117" s="34"/>
      <c r="F117" s="34"/>
      <c r="G117" s="34"/>
    </row>
    <row r="118" spans="1:19" hidden="1" x14ac:dyDescent="0.2">
      <c r="A118" s="34"/>
      <c r="B118" s="34"/>
      <c r="C118" s="34"/>
      <c r="D118" s="34"/>
      <c r="E118" s="34"/>
      <c r="F118" s="34"/>
      <c r="G118" s="34"/>
    </row>
    <row r="119" spans="1:19" hidden="1" x14ac:dyDescent="0.2">
      <c r="A119" s="34"/>
      <c r="B119" s="34"/>
      <c r="C119" s="34"/>
      <c r="D119" s="34"/>
      <c r="E119" s="34"/>
      <c r="F119" s="34"/>
      <c r="G119" s="34"/>
    </row>
    <row r="120" spans="1:19" x14ac:dyDescent="0.2">
      <c r="A120" s="34"/>
      <c r="B120" s="34"/>
      <c r="C120" s="34"/>
      <c r="D120" s="34"/>
      <c r="E120" s="34"/>
      <c r="F120" s="34"/>
      <c r="G120" s="34"/>
    </row>
    <row r="121" spans="1:19" ht="12.75" customHeight="1" x14ac:dyDescent="0.2">
      <c r="A121" s="70" t="s">
        <v>1424</v>
      </c>
      <c r="B121" s="70"/>
      <c r="C121" s="70"/>
      <c r="D121" s="70"/>
      <c r="E121" s="70"/>
      <c r="F121" s="70"/>
      <c r="G121" s="70"/>
      <c r="H121" s="51">
        <v>2026</v>
      </c>
      <c r="I121" s="25" t="s">
        <v>1435</v>
      </c>
      <c r="J121" s="25" t="s">
        <v>1440</v>
      </c>
      <c r="K121" s="25" t="s">
        <v>1441</v>
      </c>
      <c r="L121" s="25" t="s">
        <v>1442</v>
      </c>
      <c r="M121" s="25" t="s">
        <v>1444</v>
      </c>
      <c r="N121" s="25" t="s">
        <v>1435</v>
      </c>
      <c r="O121" s="25" t="s">
        <v>1440</v>
      </c>
      <c r="P121" s="25" t="s">
        <v>1441</v>
      </c>
      <c r="Q121" s="25" t="s">
        <v>1442</v>
      </c>
      <c r="R121" s="25" t="s">
        <v>1445</v>
      </c>
      <c r="S121" s="54" t="s">
        <v>1447</v>
      </c>
    </row>
    <row r="122" spans="1:19" ht="15" customHeight="1" x14ac:dyDescent="0.2">
      <c r="A122" s="57" t="s">
        <v>77</v>
      </c>
      <c r="B122" s="58"/>
      <c r="C122" s="58"/>
      <c r="D122" s="58"/>
      <c r="E122" s="58"/>
      <c r="F122" s="58"/>
      <c r="G122" s="59"/>
      <c r="H122" s="52"/>
      <c r="I122" s="25" t="s">
        <v>1436</v>
      </c>
      <c r="J122" s="25" t="s">
        <v>1437</v>
      </c>
      <c r="K122" s="25" t="s">
        <v>1438</v>
      </c>
      <c r="L122" s="25" t="s">
        <v>1439</v>
      </c>
      <c r="M122" s="25" t="s">
        <v>55</v>
      </c>
      <c r="N122" s="25" t="s">
        <v>1436</v>
      </c>
      <c r="O122" s="25" t="s">
        <v>1437</v>
      </c>
      <c r="P122" s="25" t="s">
        <v>1438</v>
      </c>
      <c r="Q122" s="25" t="s">
        <v>1439</v>
      </c>
      <c r="R122" s="25" t="s">
        <v>55</v>
      </c>
      <c r="S122" s="54"/>
    </row>
    <row r="123" spans="1:19" ht="12.75" customHeight="1" x14ac:dyDescent="0.2">
      <c r="A123" s="60"/>
      <c r="B123" s="61"/>
      <c r="C123" s="61"/>
      <c r="D123" s="61"/>
      <c r="E123" s="61"/>
      <c r="F123" s="61"/>
      <c r="G123" s="62"/>
      <c r="H123" s="53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54"/>
    </row>
    <row r="124" spans="1:19" ht="38.25" x14ac:dyDescent="0.2">
      <c r="A124" s="29" t="s">
        <v>1</v>
      </c>
      <c r="B124" s="10" t="s">
        <v>1428</v>
      </c>
      <c r="C124" s="23" t="s">
        <v>1446</v>
      </c>
      <c r="D124" s="10" t="s">
        <v>2</v>
      </c>
      <c r="E124" s="10" t="s">
        <v>3</v>
      </c>
      <c r="F124" s="10" t="s">
        <v>4</v>
      </c>
      <c r="G124" s="10" t="s">
        <v>5</v>
      </c>
      <c r="H124" s="23" t="s">
        <v>1433</v>
      </c>
      <c r="I124" s="23" t="s">
        <v>1434</v>
      </c>
      <c r="J124" s="23" t="s">
        <v>1434</v>
      </c>
      <c r="K124" s="23" t="s">
        <v>1434</v>
      </c>
      <c r="L124" s="23" t="s">
        <v>1434</v>
      </c>
      <c r="M124" s="23" t="s">
        <v>1443</v>
      </c>
      <c r="N124" s="23" t="s">
        <v>1448</v>
      </c>
      <c r="O124" s="23" t="s">
        <v>1448</v>
      </c>
      <c r="P124" s="23" t="s">
        <v>1448</v>
      </c>
      <c r="Q124" s="23" t="s">
        <v>1448</v>
      </c>
      <c r="R124" s="23" t="s">
        <v>1449</v>
      </c>
      <c r="S124" s="54"/>
    </row>
    <row r="125" spans="1:19" ht="126.95" customHeight="1" x14ac:dyDescent="0.2">
      <c r="A125" s="69" t="s">
        <v>616</v>
      </c>
      <c r="B125" s="28"/>
      <c r="C125" s="28"/>
      <c r="D125" s="48" t="s">
        <v>617</v>
      </c>
      <c r="E125" s="4" t="s">
        <v>618</v>
      </c>
      <c r="F125" s="4" t="s">
        <v>619</v>
      </c>
      <c r="G125" s="4" t="s">
        <v>620</v>
      </c>
      <c r="H125" s="49">
        <v>6</v>
      </c>
      <c r="I125" s="27">
        <v>6</v>
      </c>
      <c r="J125" s="27">
        <v>0</v>
      </c>
      <c r="K125" s="27">
        <v>0</v>
      </c>
      <c r="L125" s="27">
        <v>0</v>
      </c>
      <c r="M125" s="24">
        <f>IF(SUM(I125:L125)=H125,SUM(I125:L125)*100%/H125,"Dato erroneo no cumple con la meta Absoluta (establecida)")</f>
        <v>1</v>
      </c>
      <c r="N125" s="27">
        <v>5</v>
      </c>
      <c r="O125" s="27"/>
      <c r="P125" s="27"/>
      <c r="Q125" s="27"/>
      <c r="R125" s="24">
        <f>SUM(N125:Q125)*100%/H125</f>
        <v>0.83333333333333337</v>
      </c>
      <c r="S125" s="15"/>
    </row>
    <row r="126" spans="1:19" ht="81.95" hidden="1" customHeight="1" x14ac:dyDescent="0.2">
      <c r="A126" s="67"/>
      <c r="B126" s="28"/>
      <c r="C126" s="28"/>
      <c r="D126" s="4" t="s">
        <v>621</v>
      </c>
      <c r="E126" s="4" t="s">
        <v>622</v>
      </c>
      <c r="F126" s="4" t="s">
        <v>623</v>
      </c>
      <c r="G126" s="4" t="s">
        <v>624</v>
      </c>
      <c r="H126" s="27"/>
      <c r="I126" s="27"/>
      <c r="J126" s="27"/>
      <c r="K126" s="27"/>
      <c r="L126" s="27"/>
      <c r="M126" s="24" t="e">
        <f t="shared" ref="M126:M131" si="10">IF(SUM(I126:L126)=H126,SUM(I126:L126)*100%/H126,"Dato erroneo no cumple con la meta Absoluta (establecida)")</f>
        <v>#DIV/0!</v>
      </c>
      <c r="N126" s="27"/>
      <c r="O126" s="27"/>
      <c r="P126" s="27"/>
      <c r="Q126" s="27"/>
      <c r="R126" s="24" t="e">
        <f t="shared" ref="R126:R131" si="11">SUM(N126:Q126)*100%/H126</f>
        <v>#DIV/0!</v>
      </c>
      <c r="S126" s="15"/>
    </row>
    <row r="127" spans="1:19" ht="89.25" hidden="1" x14ac:dyDescent="0.2">
      <c r="A127" s="67"/>
      <c r="B127" s="28"/>
      <c r="C127" s="28"/>
      <c r="D127" s="4" t="s">
        <v>625</v>
      </c>
      <c r="E127" s="4" t="s">
        <v>626</v>
      </c>
      <c r="F127" s="4" t="s">
        <v>627</v>
      </c>
      <c r="G127" s="4" t="s">
        <v>628</v>
      </c>
      <c r="H127" s="27">
        <v>2</v>
      </c>
      <c r="I127" s="27"/>
      <c r="J127" s="27"/>
      <c r="K127" s="27">
        <v>2</v>
      </c>
      <c r="L127" s="27"/>
      <c r="M127" s="24">
        <f t="shared" si="10"/>
        <v>1</v>
      </c>
      <c r="N127" s="27"/>
      <c r="O127" s="27"/>
      <c r="P127" s="27"/>
      <c r="Q127" s="27"/>
      <c r="R127" s="24">
        <f t="shared" si="11"/>
        <v>0</v>
      </c>
      <c r="S127" s="15"/>
    </row>
    <row r="128" spans="1:19" ht="102" hidden="1" x14ac:dyDescent="0.2">
      <c r="A128" s="67"/>
      <c r="B128" s="28"/>
      <c r="C128" s="28"/>
      <c r="D128" s="4" t="s">
        <v>629</v>
      </c>
      <c r="E128" s="4" t="s">
        <v>630</v>
      </c>
      <c r="F128" s="4" t="s">
        <v>631</v>
      </c>
      <c r="G128" s="4" t="s">
        <v>632</v>
      </c>
      <c r="H128" s="27"/>
      <c r="I128" s="27"/>
      <c r="J128" s="27"/>
      <c r="K128" s="27"/>
      <c r="L128" s="27"/>
      <c r="M128" s="24" t="e">
        <f t="shared" si="10"/>
        <v>#DIV/0!</v>
      </c>
      <c r="N128" s="27"/>
      <c r="O128" s="27"/>
      <c r="P128" s="27"/>
      <c r="Q128" s="27"/>
      <c r="R128" s="24" t="e">
        <f t="shared" si="11"/>
        <v>#DIV/0!</v>
      </c>
      <c r="S128" s="15"/>
    </row>
    <row r="129" spans="1:20" ht="96" hidden="1" customHeight="1" x14ac:dyDescent="0.2">
      <c r="A129" s="67"/>
      <c r="B129" s="28"/>
      <c r="C129" s="28"/>
      <c r="D129" s="4" t="s">
        <v>633</v>
      </c>
      <c r="E129" s="4" t="s">
        <v>634</v>
      </c>
      <c r="F129" s="4" t="s">
        <v>635</v>
      </c>
      <c r="G129" s="4" t="s">
        <v>636</v>
      </c>
      <c r="H129" s="27"/>
      <c r="I129" s="27"/>
      <c r="J129" s="27"/>
      <c r="K129" s="27"/>
      <c r="L129" s="27"/>
      <c r="M129" s="24" t="e">
        <f t="shared" si="10"/>
        <v>#DIV/0!</v>
      </c>
      <c r="N129" s="27"/>
      <c r="O129" s="27"/>
      <c r="P129" s="27"/>
      <c r="Q129" s="27"/>
      <c r="R129" s="24" t="e">
        <f t="shared" si="11"/>
        <v>#DIV/0!</v>
      </c>
      <c r="S129" s="15"/>
    </row>
    <row r="130" spans="1:20" ht="70.5" hidden="1" customHeight="1" x14ac:dyDescent="0.2">
      <c r="A130" s="67"/>
      <c r="B130" s="28"/>
      <c r="C130" s="28"/>
      <c r="D130" s="4" t="s">
        <v>637</v>
      </c>
      <c r="E130" s="4" t="s">
        <v>634</v>
      </c>
      <c r="F130" s="4" t="s">
        <v>638</v>
      </c>
      <c r="G130" s="4" t="s">
        <v>605</v>
      </c>
      <c r="H130" s="27"/>
      <c r="I130" s="27"/>
      <c r="J130" s="27"/>
      <c r="K130" s="27"/>
      <c r="L130" s="27"/>
      <c r="M130" s="24" t="e">
        <f t="shared" si="10"/>
        <v>#DIV/0!</v>
      </c>
      <c r="N130" s="27"/>
      <c r="O130" s="27"/>
      <c r="P130" s="27"/>
      <c r="Q130" s="27"/>
      <c r="R130" s="24" t="e">
        <f t="shared" si="11"/>
        <v>#DIV/0!</v>
      </c>
      <c r="S130" s="15"/>
    </row>
    <row r="131" spans="1:20" ht="63.75" hidden="1" x14ac:dyDescent="0.2">
      <c r="A131" s="68"/>
      <c r="B131" s="28"/>
      <c r="C131" s="28"/>
      <c r="D131" s="4" t="s">
        <v>639</v>
      </c>
      <c r="E131" s="4" t="s">
        <v>640</v>
      </c>
      <c r="F131" s="4" t="s">
        <v>641</v>
      </c>
      <c r="G131" s="4" t="s">
        <v>55</v>
      </c>
      <c r="H131" s="27">
        <v>2</v>
      </c>
      <c r="I131" s="27"/>
      <c r="J131" s="27">
        <v>2</v>
      </c>
      <c r="K131" s="27"/>
      <c r="L131" s="27"/>
      <c r="M131" s="24">
        <f t="shared" si="10"/>
        <v>1</v>
      </c>
      <c r="N131" s="27"/>
      <c r="O131" s="27"/>
      <c r="P131" s="27"/>
      <c r="Q131" s="27"/>
      <c r="R131" s="24">
        <f t="shared" si="11"/>
        <v>0</v>
      </c>
      <c r="S131" s="15"/>
    </row>
    <row r="132" spans="1:20" ht="15" hidden="1" x14ac:dyDescent="0.25">
      <c r="A132" s="55" t="s">
        <v>642</v>
      </c>
      <c r="B132" s="55"/>
      <c r="C132" s="55"/>
      <c r="D132" s="55"/>
      <c r="E132" s="55"/>
      <c r="F132" s="55"/>
      <c r="G132" s="55"/>
      <c r="H132"/>
      <c r="I132"/>
      <c r="J132"/>
      <c r="K132"/>
      <c r="L132"/>
      <c r="M132"/>
      <c r="N132"/>
      <c r="O132"/>
      <c r="P132"/>
      <c r="Q132"/>
      <c r="R132"/>
      <c r="S132"/>
      <c r="T132"/>
    </row>
    <row r="133" spans="1:20" ht="15" hidden="1" x14ac:dyDescent="0.25">
      <c r="A133" s="56"/>
      <c r="B133" s="56"/>
      <c r="C133" s="56"/>
      <c r="D133" s="56"/>
      <c r="E133" s="56"/>
      <c r="F133" s="56"/>
      <c r="G133" s="56"/>
      <c r="H133"/>
      <c r="I133"/>
      <c r="J133"/>
      <c r="K133"/>
      <c r="L133"/>
      <c r="M133"/>
      <c r="N133"/>
      <c r="O133"/>
      <c r="P133"/>
      <c r="Q133"/>
      <c r="R133"/>
      <c r="S133"/>
      <c r="T133"/>
    </row>
    <row r="134" spans="1:20" ht="15" hidden="1" x14ac:dyDescent="0.25">
      <c r="A134" s="8"/>
      <c r="B134" s="8"/>
      <c r="C134" s="8"/>
      <c r="D134" s="8"/>
      <c r="E134" s="8"/>
      <c r="F134" s="8"/>
      <c r="G134" s="8"/>
      <c r="H134"/>
      <c r="I134"/>
      <c r="J134"/>
      <c r="K134"/>
      <c r="L134"/>
      <c r="M134"/>
      <c r="N134"/>
      <c r="O134"/>
      <c r="P134"/>
      <c r="Q134"/>
      <c r="R134"/>
      <c r="S134"/>
      <c r="T134"/>
    </row>
    <row r="135" spans="1:20" ht="15" hidden="1" x14ac:dyDescent="0.25">
      <c r="A135" s="8"/>
      <c r="B135" s="8"/>
      <c r="C135" s="8"/>
      <c r="D135" s="8"/>
      <c r="E135" s="8"/>
      <c r="F135" s="8"/>
      <c r="G135" s="8"/>
      <c r="H135"/>
      <c r="I135"/>
      <c r="J135"/>
      <c r="K135"/>
      <c r="L135"/>
      <c r="M135"/>
      <c r="N135"/>
      <c r="O135"/>
      <c r="P135"/>
      <c r="Q135"/>
      <c r="R135"/>
      <c r="S135"/>
      <c r="T135"/>
    </row>
    <row r="136" spans="1:20" ht="15" hidden="1" x14ac:dyDescent="0.25">
      <c r="A136" s="8"/>
      <c r="B136" s="8"/>
      <c r="C136" s="8"/>
      <c r="D136" s="8"/>
      <c r="E136" s="8"/>
      <c r="F136" s="8"/>
      <c r="G136" s="8"/>
      <c r="H136"/>
      <c r="I136"/>
      <c r="J136"/>
      <c r="K136"/>
      <c r="L136"/>
      <c r="M136"/>
      <c r="N136"/>
      <c r="O136"/>
      <c r="P136"/>
      <c r="Q136"/>
      <c r="R136"/>
      <c r="S136"/>
      <c r="T136"/>
    </row>
    <row r="137" spans="1:20" hidden="1" x14ac:dyDescent="0.2">
      <c r="A137" s="8"/>
      <c r="B137" s="8"/>
      <c r="C137" s="8"/>
      <c r="D137" s="8"/>
      <c r="E137" s="8"/>
      <c r="F137" s="8"/>
      <c r="G137" s="8"/>
    </row>
    <row r="138" spans="1:20" hidden="1" x14ac:dyDescent="0.2">
      <c r="A138" s="8"/>
      <c r="B138" s="8"/>
      <c r="C138" s="8"/>
      <c r="D138" s="8"/>
      <c r="E138" s="8"/>
      <c r="F138" s="8"/>
      <c r="G138" s="8"/>
    </row>
    <row r="139" spans="1:20" hidden="1" x14ac:dyDescent="0.2">
      <c r="A139" s="8"/>
      <c r="B139" s="8"/>
      <c r="C139" s="8"/>
      <c r="D139" s="8"/>
      <c r="E139" s="8"/>
      <c r="F139" s="8"/>
      <c r="G139" s="8"/>
    </row>
    <row r="140" spans="1:20" ht="12.75" hidden="1" customHeight="1" x14ac:dyDescent="0.2">
      <c r="A140" s="70" t="s">
        <v>1424</v>
      </c>
      <c r="B140" s="70"/>
      <c r="C140" s="70"/>
      <c r="D140" s="70"/>
      <c r="E140" s="70"/>
      <c r="F140" s="70"/>
      <c r="G140" s="70"/>
      <c r="H140" s="51">
        <v>2025</v>
      </c>
      <c r="I140" s="25" t="s">
        <v>1435</v>
      </c>
      <c r="J140" s="25" t="s">
        <v>1440</v>
      </c>
      <c r="K140" s="25" t="s">
        <v>1441</v>
      </c>
      <c r="L140" s="25" t="s">
        <v>1442</v>
      </c>
      <c r="M140" s="25" t="s">
        <v>1444</v>
      </c>
      <c r="N140" s="25" t="s">
        <v>1435</v>
      </c>
      <c r="O140" s="25" t="s">
        <v>1440</v>
      </c>
      <c r="P140" s="25" t="s">
        <v>1441</v>
      </c>
      <c r="Q140" s="25" t="s">
        <v>1442</v>
      </c>
      <c r="R140" s="25" t="s">
        <v>1445</v>
      </c>
      <c r="S140" s="54" t="s">
        <v>1447</v>
      </c>
    </row>
    <row r="141" spans="1:20" ht="15" hidden="1" customHeight="1" x14ac:dyDescent="0.2">
      <c r="A141" s="57" t="s">
        <v>78</v>
      </c>
      <c r="B141" s="58"/>
      <c r="C141" s="58"/>
      <c r="D141" s="58"/>
      <c r="E141" s="58"/>
      <c r="F141" s="58"/>
      <c r="G141" s="59"/>
      <c r="H141" s="52"/>
      <c r="I141" s="25" t="s">
        <v>1436</v>
      </c>
      <c r="J141" s="25" t="s">
        <v>1437</v>
      </c>
      <c r="K141" s="25" t="s">
        <v>1438</v>
      </c>
      <c r="L141" s="25" t="s">
        <v>1439</v>
      </c>
      <c r="M141" s="25" t="s">
        <v>55</v>
      </c>
      <c r="N141" s="25" t="s">
        <v>1436</v>
      </c>
      <c r="O141" s="25" t="s">
        <v>1437</v>
      </c>
      <c r="P141" s="25" t="s">
        <v>1438</v>
      </c>
      <c r="Q141" s="25" t="s">
        <v>1439</v>
      </c>
      <c r="R141" s="25" t="s">
        <v>55</v>
      </c>
      <c r="S141" s="54"/>
    </row>
    <row r="142" spans="1:20" ht="12.75" hidden="1" customHeight="1" x14ac:dyDescent="0.2">
      <c r="A142" s="60"/>
      <c r="B142" s="61"/>
      <c r="C142" s="61"/>
      <c r="D142" s="61"/>
      <c r="E142" s="61"/>
      <c r="F142" s="61"/>
      <c r="G142" s="62"/>
      <c r="H142" s="53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54"/>
    </row>
    <row r="143" spans="1:20" ht="38.25" hidden="1" x14ac:dyDescent="0.2">
      <c r="A143" s="10" t="s">
        <v>1</v>
      </c>
      <c r="B143" s="10" t="s">
        <v>1428</v>
      </c>
      <c r="C143" s="23" t="s">
        <v>1446</v>
      </c>
      <c r="D143" s="10" t="s">
        <v>2</v>
      </c>
      <c r="E143" s="10" t="s">
        <v>3</v>
      </c>
      <c r="F143" s="10" t="s">
        <v>4</v>
      </c>
      <c r="G143" s="10" t="s">
        <v>5</v>
      </c>
      <c r="H143" s="23" t="s">
        <v>1433</v>
      </c>
      <c r="I143" s="23" t="s">
        <v>1434</v>
      </c>
      <c r="J143" s="23" t="s">
        <v>1434</v>
      </c>
      <c r="K143" s="23" t="s">
        <v>1434</v>
      </c>
      <c r="L143" s="23" t="s">
        <v>1434</v>
      </c>
      <c r="M143" s="23" t="s">
        <v>1443</v>
      </c>
      <c r="N143" s="23" t="s">
        <v>1448</v>
      </c>
      <c r="O143" s="23" t="s">
        <v>1448</v>
      </c>
      <c r="P143" s="23" t="s">
        <v>1448</v>
      </c>
      <c r="Q143" s="23" t="s">
        <v>1448</v>
      </c>
      <c r="R143" s="23" t="s">
        <v>1449</v>
      </c>
      <c r="S143" s="54"/>
    </row>
    <row r="144" spans="1:20" ht="76.5" hidden="1" x14ac:dyDescent="0.2">
      <c r="A144" s="66" t="s">
        <v>643</v>
      </c>
      <c r="B144" s="28"/>
      <c r="C144" s="28"/>
      <c r="D144" s="4" t="s">
        <v>644</v>
      </c>
      <c r="E144" s="4" t="s">
        <v>645</v>
      </c>
      <c r="F144" s="4" t="s">
        <v>646</v>
      </c>
      <c r="G144" s="4" t="s">
        <v>647</v>
      </c>
      <c r="H144" s="27"/>
      <c r="I144" s="27"/>
      <c r="J144" s="27"/>
      <c r="K144" s="27"/>
      <c r="L144" s="27"/>
      <c r="M144" s="24" t="e">
        <f>IF(SUM(I144:L144)=H144,SUM(I144:L144)*100%/H144,"Dato erroneo no cumple con la meta Absoluta (establecida)")</f>
        <v>#DIV/0!</v>
      </c>
      <c r="N144" s="27"/>
      <c r="O144" s="27"/>
      <c r="P144" s="27"/>
      <c r="Q144" s="27"/>
      <c r="R144" s="24" t="e">
        <f>SUM(N144:Q144)*100%/H144</f>
        <v>#DIV/0!</v>
      </c>
      <c r="S144" s="15"/>
    </row>
    <row r="145" spans="1:22" ht="89.25" hidden="1" x14ac:dyDescent="0.2">
      <c r="A145" s="67"/>
      <c r="B145" s="4"/>
      <c r="C145" s="4"/>
      <c r="D145" s="4" t="s">
        <v>648</v>
      </c>
      <c r="E145" s="4" t="s">
        <v>649</v>
      </c>
      <c r="F145" s="4" t="s">
        <v>650</v>
      </c>
      <c r="G145" s="4" t="s">
        <v>651</v>
      </c>
      <c r="H145" s="27"/>
      <c r="I145" s="27"/>
      <c r="J145" s="27"/>
      <c r="K145" s="27"/>
      <c r="L145" s="27"/>
      <c r="M145" s="24" t="e">
        <f t="shared" ref="M145:M147" si="12">IF(SUM(I145:L145)=H145,SUM(I145:L145)*100%/H145,"Dato erroneo no cumple con la meta Absoluta (establecida)")</f>
        <v>#DIV/0!</v>
      </c>
      <c r="N145" s="27"/>
      <c r="O145" s="27"/>
      <c r="P145" s="27"/>
      <c r="Q145" s="27"/>
      <c r="R145" s="24" t="e">
        <f t="shared" ref="R145:R147" si="13">SUM(N145:Q145)*100%/H145</f>
        <v>#DIV/0!</v>
      </c>
      <c r="S145" s="15"/>
    </row>
    <row r="146" spans="1:22" ht="76.5" hidden="1" x14ac:dyDescent="0.2">
      <c r="A146" s="67"/>
      <c r="B146" s="4"/>
      <c r="C146" s="4"/>
      <c r="D146" s="4" t="s">
        <v>652</v>
      </c>
      <c r="E146" s="4" t="s">
        <v>653</v>
      </c>
      <c r="F146" s="4" t="s">
        <v>654</v>
      </c>
      <c r="G146" s="4" t="s">
        <v>655</v>
      </c>
      <c r="H146" s="27"/>
      <c r="I146" s="27"/>
      <c r="J146" s="27"/>
      <c r="K146" s="27"/>
      <c r="L146" s="27"/>
      <c r="M146" s="24" t="e">
        <f t="shared" si="12"/>
        <v>#DIV/0!</v>
      </c>
      <c r="N146" s="27"/>
      <c r="O146" s="27"/>
      <c r="P146" s="27"/>
      <c r="Q146" s="27"/>
      <c r="R146" s="24" t="e">
        <f t="shared" si="13"/>
        <v>#DIV/0!</v>
      </c>
      <c r="S146" s="15"/>
    </row>
    <row r="147" spans="1:22" ht="89.25" hidden="1" x14ac:dyDescent="0.2">
      <c r="A147" s="68"/>
      <c r="B147" s="4"/>
      <c r="C147" s="4"/>
      <c r="D147" s="4" t="s">
        <v>656</v>
      </c>
      <c r="E147" s="4" t="s">
        <v>657</v>
      </c>
      <c r="F147" s="4" t="s">
        <v>658</v>
      </c>
      <c r="G147" s="4" t="s">
        <v>659</v>
      </c>
      <c r="H147" s="27"/>
      <c r="I147" s="27"/>
      <c r="J147" s="27"/>
      <c r="K147" s="27"/>
      <c r="L147" s="27"/>
      <c r="M147" s="24" t="e">
        <f t="shared" si="12"/>
        <v>#DIV/0!</v>
      </c>
      <c r="N147" s="27"/>
      <c r="O147" s="27"/>
      <c r="P147" s="27"/>
      <c r="Q147" s="27"/>
      <c r="R147" s="24" t="e">
        <f t="shared" si="13"/>
        <v>#DIV/0!</v>
      </c>
      <c r="S147" s="15"/>
    </row>
    <row r="148" spans="1:22" ht="15" hidden="1" x14ac:dyDescent="0.25">
      <c r="A148" s="45" t="s">
        <v>660</v>
      </c>
      <c r="B148" s="45"/>
      <c r="C148" s="45"/>
      <c r="D148" s="45"/>
      <c r="E148" s="45"/>
      <c r="F148" s="45"/>
      <c r="G148" s="45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</row>
    <row r="149" spans="1:22" ht="15" hidden="1" x14ac:dyDescent="0.25">
      <c r="A149" s="46"/>
      <c r="B149" s="46"/>
      <c r="C149" s="46"/>
      <c r="D149" s="46"/>
      <c r="E149" s="46"/>
      <c r="F149" s="46"/>
      <c r="G149" s="46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</row>
    <row r="150" spans="1:22" ht="15" hidden="1" x14ac:dyDescent="0.25">
      <c r="A150" s="46"/>
      <c r="B150" s="46"/>
      <c r="C150" s="46"/>
      <c r="D150" s="46"/>
      <c r="E150" s="46"/>
      <c r="F150" s="46"/>
      <c r="G150" s="46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</row>
    <row r="151" spans="1:22" ht="15" hidden="1" x14ac:dyDescent="0.25">
      <c r="A151" s="46"/>
      <c r="B151" s="46"/>
      <c r="C151" s="46"/>
      <c r="D151" s="46"/>
      <c r="E151" s="46"/>
      <c r="F151" s="46"/>
      <c r="G151" s="46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</row>
    <row r="152" spans="1:22" hidden="1" x14ac:dyDescent="0.2">
      <c r="A152" s="46"/>
      <c r="B152" s="46"/>
      <c r="C152" s="46"/>
      <c r="D152" s="46"/>
      <c r="E152" s="46"/>
      <c r="F152" s="46"/>
      <c r="G152" s="46"/>
    </row>
    <row r="153" spans="1:22" hidden="1" x14ac:dyDescent="0.2">
      <c r="A153" s="46"/>
      <c r="B153" s="46"/>
      <c r="C153" s="46"/>
      <c r="D153" s="46"/>
      <c r="E153" s="46"/>
      <c r="F153" s="46"/>
      <c r="G153" s="46"/>
    </row>
    <row r="154" spans="1:22" hidden="1" x14ac:dyDescent="0.2">
      <c r="A154" s="46"/>
      <c r="B154" s="46"/>
      <c r="C154" s="46"/>
      <c r="D154" s="46"/>
      <c r="E154" s="46"/>
      <c r="F154" s="46"/>
      <c r="G154" s="46"/>
    </row>
    <row r="155" spans="1:22" hidden="1" x14ac:dyDescent="0.2">
      <c r="A155" s="34"/>
      <c r="B155" s="34"/>
      <c r="C155" s="34"/>
      <c r="D155" s="34"/>
      <c r="E155" s="34"/>
      <c r="F155" s="34"/>
      <c r="G155" s="34"/>
    </row>
    <row r="156" spans="1:22" x14ac:dyDescent="0.2">
      <c r="A156" s="34"/>
      <c r="B156" s="34"/>
      <c r="C156" s="34"/>
      <c r="D156" s="34"/>
      <c r="E156" s="34"/>
      <c r="F156" s="34"/>
      <c r="G156" s="34"/>
    </row>
    <row r="157" spans="1:22" ht="12.75" customHeight="1" x14ac:dyDescent="0.2">
      <c r="A157" s="63" t="s">
        <v>1424</v>
      </c>
      <c r="B157" s="64"/>
      <c r="C157" s="64"/>
      <c r="D157" s="64"/>
      <c r="E157" s="64"/>
      <c r="F157" s="64"/>
      <c r="G157" s="65"/>
      <c r="H157" s="51">
        <v>2026</v>
      </c>
      <c r="I157" s="25" t="s">
        <v>1435</v>
      </c>
      <c r="J157" s="25" t="s">
        <v>1440</v>
      </c>
      <c r="K157" s="25" t="s">
        <v>1441</v>
      </c>
      <c r="L157" s="25" t="s">
        <v>1442</v>
      </c>
      <c r="M157" s="25" t="s">
        <v>1444</v>
      </c>
      <c r="N157" s="25" t="s">
        <v>1435</v>
      </c>
      <c r="O157" s="25" t="s">
        <v>1440</v>
      </c>
      <c r="P157" s="25" t="s">
        <v>1441</v>
      </c>
      <c r="Q157" s="25" t="s">
        <v>1442</v>
      </c>
      <c r="R157" s="25" t="s">
        <v>1445</v>
      </c>
      <c r="S157" s="54" t="s">
        <v>1447</v>
      </c>
    </row>
    <row r="158" spans="1:22" ht="15" customHeight="1" x14ac:dyDescent="0.2">
      <c r="A158" s="57" t="s">
        <v>79</v>
      </c>
      <c r="B158" s="58"/>
      <c r="C158" s="58"/>
      <c r="D158" s="58"/>
      <c r="E158" s="58"/>
      <c r="F158" s="58"/>
      <c r="G158" s="59"/>
      <c r="H158" s="52"/>
      <c r="I158" s="25" t="s">
        <v>1436</v>
      </c>
      <c r="J158" s="25" t="s">
        <v>1437</v>
      </c>
      <c r="K158" s="25" t="s">
        <v>1438</v>
      </c>
      <c r="L158" s="25" t="s">
        <v>1439</v>
      </c>
      <c r="M158" s="25" t="s">
        <v>55</v>
      </c>
      <c r="N158" s="25" t="s">
        <v>1436</v>
      </c>
      <c r="O158" s="25" t="s">
        <v>1437</v>
      </c>
      <c r="P158" s="25" t="s">
        <v>1438</v>
      </c>
      <c r="Q158" s="25" t="s">
        <v>1439</v>
      </c>
      <c r="R158" s="25" t="s">
        <v>55</v>
      </c>
      <c r="S158" s="54"/>
    </row>
    <row r="159" spans="1:22" ht="12.75" customHeight="1" x14ac:dyDescent="0.2">
      <c r="A159" s="60"/>
      <c r="B159" s="61"/>
      <c r="C159" s="61"/>
      <c r="D159" s="61"/>
      <c r="E159" s="61"/>
      <c r="F159" s="61"/>
      <c r="G159" s="62"/>
      <c r="H159" s="53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54"/>
    </row>
    <row r="160" spans="1:22" ht="38.25" x14ac:dyDescent="0.2">
      <c r="A160" s="10" t="s">
        <v>1</v>
      </c>
      <c r="B160" s="10" t="s">
        <v>1428</v>
      </c>
      <c r="C160" s="23" t="s">
        <v>1446</v>
      </c>
      <c r="D160" s="10" t="s">
        <v>2</v>
      </c>
      <c r="E160" s="10" t="s">
        <v>3</v>
      </c>
      <c r="F160" s="10" t="s">
        <v>4</v>
      </c>
      <c r="G160" s="10" t="s">
        <v>5</v>
      </c>
      <c r="H160" s="23" t="s">
        <v>1433</v>
      </c>
      <c r="I160" s="23" t="s">
        <v>1434</v>
      </c>
      <c r="J160" s="23" t="s">
        <v>1434</v>
      </c>
      <c r="K160" s="23" t="s">
        <v>1434</v>
      </c>
      <c r="L160" s="23" t="s">
        <v>1434</v>
      </c>
      <c r="M160" s="23" t="s">
        <v>1443</v>
      </c>
      <c r="N160" s="23" t="s">
        <v>1448</v>
      </c>
      <c r="O160" s="23" t="s">
        <v>1448</v>
      </c>
      <c r="P160" s="23" t="s">
        <v>1448</v>
      </c>
      <c r="Q160" s="23" t="s">
        <v>1448</v>
      </c>
      <c r="R160" s="23" t="s">
        <v>1449</v>
      </c>
      <c r="S160" s="54"/>
    </row>
    <row r="161" spans="1:19" ht="89.25" x14ac:dyDescent="0.2">
      <c r="A161" s="66" t="s">
        <v>661</v>
      </c>
      <c r="B161" s="28"/>
      <c r="C161" s="28"/>
      <c r="D161" s="48" t="s">
        <v>662</v>
      </c>
      <c r="E161" s="4" t="s">
        <v>663</v>
      </c>
      <c r="F161" s="4" t="s">
        <v>664</v>
      </c>
      <c r="G161" s="4" t="s">
        <v>665</v>
      </c>
      <c r="H161" s="27">
        <v>22000</v>
      </c>
      <c r="I161" s="27">
        <v>15000</v>
      </c>
      <c r="J161" s="27">
        <v>3000</v>
      </c>
      <c r="K161" s="27">
        <v>2000</v>
      </c>
      <c r="L161" s="27">
        <v>2000</v>
      </c>
      <c r="M161" s="24">
        <f>IF(SUM(I161:L161)=H161,SUM(I161:L161)*100%/H161,"Dato erroneo no cumple con la meta Absoluta (establecida)")</f>
        <v>1</v>
      </c>
      <c r="N161" s="50">
        <v>17234</v>
      </c>
      <c r="O161" s="27"/>
      <c r="P161" s="27"/>
      <c r="Q161" s="27"/>
      <c r="R161" s="24">
        <f>SUM(N161:Q161)*100%/H161</f>
        <v>0.78336363636363637</v>
      </c>
      <c r="S161" s="15"/>
    </row>
    <row r="162" spans="1:19" ht="76.5" x14ac:dyDescent="0.2">
      <c r="A162" s="67"/>
      <c r="B162" s="28"/>
      <c r="C162" s="28"/>
      <c r="D162" s="48" t="s">
        <v>666</v>
      </c>
      <c r="E162" s="4" t="s">
        <v>667</v>
      </c>
      <c r="F162" s="4" t="s">
        <v>668</v>
      </c>
      <c r="G162" s="4" t="s">
        <v>669</v>
      </c>
      <c r="H162" s="27">
        <v>12</v>
      </c>
      <c r="I162" s="27">
        <v>3</v>
      </c>
      <c r="J162" s="27">
        <v>3</v>
      </c>
      <c r="K162" s="27">
        <v>3</v>
      </c>
      <c r="L162" s="27">
        <v>3</v>
      </c>
      <c r="M162" s="24">
        <f t="shared" ref="M162:M166" si="14">IF(SUM(I162:L162)=H162,SUM(I162:L162)*100%/H162,"Dato erroneo no cumple con la meta Absoluta (establecida)")</f>
        <v>1</v>
      </c>
      <c r="N162" s="27">
        <v>3</v>
      </c>
      <c r="O162" s="27"/>
      <c r="P162" s="27"/>
      <c r="Q162" s="27"/>
      <c r="R162" s="24">
        <f>SUM(N162:Q162)*100%/H162</f>
        <v>0.25</v>
      </c>
      <c r="S162" s="15"/>
    </row>
    <row r="163" spans="1:19" ht="89.25" x14ac:dyDescent="0.2">
      <c r="A163" s="67"/>
      <c r="B163" s="28"/>
      <c r="C163" s="28"/>
      <c r="D163" s="48" t="s">
        <v>670</v>
      </c>
      <c r="E163" s="4" t="s">
        <v>671</v>
      </c>
      <c r="F163" s="4" t="s">
        <v>672</v>
      </c>
      <c r="G163" s="4" t="s">
        <v>673</v>
      </c>
      <c r="H163" s="27">
        <v>7</v>
      </c>
      <c r="I163" s="27">
        <v>6</v>
      </c>
      <c r="J163" s="27">
        <v>1</v>
      </c>
      <c r="K163" s="27">
        <v>0</v>
      </c>
      <c r="L163" s="27">
        <v>0</v>
      </c>
      <c r="M163" s="24">
        <f t="shared" si="14"/>
        <v>1</v>
      </c>
      <c r="N163" s="27">
        <v>5</v>
      </c>
      <c r="O163" s="27"/>
      <c r="P163" s="27"/>
      <c r="Q163" s="27"/>
      <c r="R163" s="24">
        <f t="shared" ref="R163:R166" si="15">SUM(N163:Q163)*100%/H163</f>
        <v>0.7142857142857143</v>
      </c>
      <c r="S163" s="15"/>
    </row>
    <row r="164" spans="1:19" ht="76.5" x14ac:dyDescent="0.2">
      <c r="A164" s="67"/>
      <c r="B164" s="28"/>
      <c r="C164" s="28"/>
      <c r="D164" s="48" t="s">
        <v>674</v>
      </c>
      <c r="E164" s="4" t="s">
        <v>675</v>
      </c>
      <c r="F164" s="4" t="s">
        <v>676</v>
      </c>
      <c r="G164" s="4" t="s">
        <v>677</v>
      </c>
      <c r="H164" s="27">
        <v>4</v>
      </c>
      <c r="I164" s="27">
        <v>1</v>
      </c>
      <c r="J164" s="27">
        <v>0</v>
      </c>
      <c r="K164" s="27">
        <v>1</v>
      </c>
      <c r="L164" s="27">
        <v>2</v>
      </c>
      <c r="M164" s="24">
        <f>IF(SUM(I164:L164)=H164,SUM(I164:L164)*100%/H164,"Dato erroneo no cumple con la meta Absoluta (establecida)")</f>
        <v>1</v>
      </c>
      <c r="N164" s="27">
        <v>9</v>
      </c>
      <c r="O164" s="27"/>
      <c r="P164" s="27"/>
      <c r="Q164" s="27"/>
      <c r="R164" s="24">
        <f t="shared" si="15"/>
        <v>2.25</v>
      </c>
      <c r="S164" s="15"/>
    </row>
    <row r="165" spans="1:19" ht="54.6" customHeight="1" x14ac:dyDescent="0.2">
      <c r="A165" s="67"/>
      <c r="B165" s="28"/>
      <c r="C165" s="28"/>
      <c r="D165" s="48" t="s">
        <v>1452</v>
      </c>
      <c r="E165" s="4" t="s">
        <v>678</v>
      </c>
      <c r="F165" s="4" t="s">
        <v>679</v>
      </c>
      <c r="G165" s="4" t="s">
        <v>55</v>
      </c>
      <c r="H165" s="27">
        <v>3</v>
      </c>
      <c r="I165" s="27">
        <v>1</v>
      </c>
      <c r="J165" s="27">
        <v>1</v>
      </c>
      <c r="K165" s="27">
        <v>1</v>
      </c>
      <c r="L165" s="27">
        <v>0</v>
      </c>
      <c r="M165" s="24">
        <f t="shared" si="14"/>
        <v>1</v>
      </c>
      <c r="N165" s="27">
        <v>5</v>
      </c>
      <c r="O165" s="27"/>
      <c r="P165" s="27"/>
      <c r="Q165" s="27"/>
      <c r="R165" s="24">
        <f t="shared" si="15"/>
        <v>1.6666666666666667</v>
      </c>
      <c r="S165" s="15"/>
    </row>
    <row r="166" spans="1:19" ht="56.45" customHeight="1" x14ac:dyDescent="0.2">
      <c r="A166" s="68"/>
      <c r="B166" s="28"/>
      <c r="C166" s="28"/>
      <c r="D166" s="48" t="s">
        <v>680</v>
      </c>
      <c r="E166" s="4" t="s">
        <v>678</v>
      </c>
      <c r="F166" s="4" t="s">
        <v>679</v>
      </c>
      <c r="G166" s="4" t="s">
        <v>55</v>
      </c>
      <c r="H166" s="27">
        <v>1</v>
      </c>
      <c r="I166" s="27">
        <v>1</v>
      </c>
      <c r="J166" s="27">
        <v>0</v>
      </c>
      <c r="K166" s="27">
        <v>0</v>
      </c>
      <c r="L166" s="27">
        <v>0</v>
      </c>
      <c r="M166" s="24">
        <f t="shared" si="14"/>
        <v>1</v>
      </c>
      <c r="N166" s="27">
        <v>1</v>
      </c>
      <c r="O166" s="27"/>
      <c r="P166" s="27"/>
      <c r="Q166" s="27"/>
      <c r="R166" s="24">
        <f t="shared" si="15"/>
        <v>1</v>
      </c>
      <c r="S166" s="15"/>
    </row>
    <row r="167" spans="1:19" ht="15" x14ac:dyDescent="0.25">
      <c r="A167" s="45" t="s">
        <v>681</v>
      </c>
      <c r="B167" s="45"/>
      <c r="C167" s="45"/>
      <c r="D167" s="45"/>
      <c r="E167" s="45"/>
      <c r="F167" s="45"/>
      <c r="G167" s="45"/>
      <c r="H167"/>
      <c r="I167"/>
      <c r="J167"/>
      <c r="K167"/>
      <c r="L167"/>
      <c r="M167"/>
      <c r="N167"/>
      <c r="O167"/>
      <c r="P167"/>
      <c r="Q167"/>
      <c r="R167"/>
    </row>
    <row r="168" spans="1:19" ht="15" x14ac:dyDescent="0.25">
      <c r="H168"/>
      <c r="I168"/>
      <c r="J168"/>
      <c r="K168"/>
      <c r="L168"/>
      <c r="M168"/>
      <c r="N168"/>
      <c r="O168"/>
      <c r="P168"/>
      <c r="Q168"/>
      <c r="R168"/>
    </row>
    <row r="169" spans="1:19" ht="15" x14ac:dyDescent="0.25">
      <c r="H169"/>
      <c r="I169"/>
      <c r="J169"/>
      <c r="K169"/>
      <c r="L169"/>
      <c r="M169"/>
      <c r="N169"/>
      <c r="O169"/>
      <c r="P169"/>
      <c r="Q169"/>
      <c r="R169"/>
    </row>
  </sheetData>
  <mergeCells count="46">
    <mergeCell ref="A66:G66"/>
    <mergeCell ref="A82:G82"/>
    <mergeCell ref="A98:G98"/>
    <mergeCell ref="A121:G121"/>
    <mergeCell ref="A140:G140"/>
    <mergeCell ref="A67:G68"/>
    <mergeCell ref="A83:G84"/>
    <mergeCell ref="A99:G100"/>
    <mergeCell ref="A122:G123"/>
    <mergeCell ref="A51:A57"/>
    <mergeCell ref="A21:A38"/>
    <mergeCell ref="A1:G1"/>
    <mergeCell ref="A17:G17"/>
    <mergeCell ref="A47:G47"/>
    <mergeCell ref="A2:G3"/>
    <mergeCell ref="A18:G19"/>
    <mergeCell ref="A48:G49"/>
    <mergeCell ref="A5:A9"/>
    <mergeCell ref="A161:A166"/>
    <mergeCell ref="A144:A147"/>
    <mergeCell ref="A125:A131"/>
    <mergeCell ref="A102:A112"/>
    <mergeCell ref="A70:A73"/>
    <mergeCell ref="A86:A89"/>
    <mergeCell ref="A141:G142"/>
    <mergeCell ref="H140:H142"/>
    <mergeCell ref="S140:S143"/>
    <mergeCell ref="H157:H159"/>
    <mergeCell ref="S157:S160"/>
    <mergeCell ref="A132:G133"/>
    <mergeCell ref="A158:G159"/>
    <mergeCell ref="A157:G157"/>
    <mergeCell ref="H1:H3"/>
    <mergeCell ref="S1:S4"/>
    <mergeCell ref="H17:H19"/>
    <mergeCell ref="S17:S20"/>
    <mergeCell ref="H47:H49"/>
    <mergeCell ref="S47:S50"/>
    <mergeCell ref="H121:H123"/>
    <mergeCell ref="S121:S124"/>
    <mergeCell ref="H66:H68"/>
    <mergeCell ref="S66:S69"/>
    <mergeCell ref="H82:H84"/>
    <mergeCell ref="S82:S85"/>
    <mergeCell ref="H98:H100"/>
    <mergeCell ref="S98:S101"/>
  </mergeCells>
  <pageMargins left="0.70866141732283472" right="0.70866141732283472" top="0.74803149606299213" bottom="0.74803149606299213" header="0.31496062992125984" footer="0.31496062992125984"/>
  <pageSetup paperSize="9" scale="4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EJE 1</vt:lpstr>
      <vt:lpstr>EJE 2</vt:lpstr>
      <vt:lpstr>EJE 3</vt:lpstr>
      <vt:lpstr>EJE 4</vt:lpstr>
      <vt:lpstr>EJE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Planeacion</dc:creator>
  <cp:lastModifiedBy>LUCY MARIN MACIAS</cp:lastModifiedBy>
  <cp:lastPrinted>2026-04-15T19:42:56Z</cp:lastPrinted>
  <dcterms:created xsi:type="dcterms:W3CDTF">2025-02-25T21:02:51Z</dcterms:created>
  <dcterms:modified xsi:type="dcterms:W3CDTF">2026-04-15T19:43:20Z</dcterms:modified>
</cp:coreProperties>
</file>